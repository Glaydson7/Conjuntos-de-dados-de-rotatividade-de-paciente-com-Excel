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laydson\Desktop\Excel\"/>
    </mc:Choice>
  </mc:AlternateContent>
  <xr:revisionPtr revIDLastSave="0" documentId="13_ncr:1_{C61E67AB-3AC4-4206-9606-43B0A867C0E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atient_churn_dataset" sheetId="1" r:id="rId1"/>
    <sheet name="ex_9" sheetId="12" r:id="rId2"/>
    <sheet name="ex_8" sheetId="11" r:id="rId3"/>
    <sheet name="ex_7" sheetId="10" r:id="rId4"/>
    <sheet name="ex_6" sheetId="9" r:id="rId5"/>
    <sheet name="ex_5" sheetId="8" r:id="rId6"/>
    <sheet name="ex_4" sheetId="7" r:id="rId7"/>
    <sheet name="ex_3" sheetId="6" r:id="rId8"/>
    <sheet name="ex_2" sheetId="5" r:id="rId9"/>
    <sheet name="ex_1" sheetId="4" r:id="rId10"/>
  </sheets>
  <definedNames>
    <definedName name="_xlnm._FilterDatabase" localSheetId="4" hidden="1">ex_6!$A$1:$B$501</definedName>
  </definedNames>
  <calcPr calcId="191029"/>
  <pivotCaches>
    <pivotCache cacheId="0" r:id="rId11"/>
    <pivotCache cacheId="1" r:id="rId12"/>
    <pivotCache cacheId="2" r:id="rId13"/>
    <pivotCache cacheId="3" r:id="rId14"/>
    <pivotCache cacheId="1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" i="4" l="1"/>
  <c r="D9" i="4"/>
  <c r="D6" i="4"/>
  <c r="H2" i="4" s="1"/>
  <c r="D2" i="4"/>
  <c r="K2" i="9"/>
  <c r="J2" i="9"/>
  <c r="I2" i="9"/>
  <c r="E4" i="8"/>
  <c r="E3" i="8"/>
  <c r="C4" i="11"/>
  <c r="C3" i="11"/>
  <c r="C2" i="11"/>
  <c r="C6" i="10"/>
  <c r="C5" i="10"/>
  <c r="C4" i="10"/>
</calcChain>
</file>

<file path=xl/sharedStrings.xml><?xml version="1.0" encoding="utf-8"?>
<sst xmlns="http://schemas.openxmlformats.org/spreadsheetml/2006/main" count="2573" uniqueCount="43">
  <si>
    <t>Female</t>
  </si>
  <si>
    <t>No</t>
  </si>
  <si>
    <t>Government</t>
  </si>
  <si>
    <t>Male</t>
  </si>
  <si>
    <t>Yes</t>
  </si>
  <si>
    <t>None</t>
  </si>
  <si>
    <t>Private</t>
  </si>
  <si>
    <t>Gênero</t>
  </si>
  <si>
    <t>Idade</t>
  </si>
  <si>
    <t>ID</t>
  </si>
  <si>
    <t>Permanência_Meses</t>
  </si>
  <si>
    <t>Visitas_ano_passado</t>
  </si>
  <si>
    <t>Doença_Crônica</t>
  </si>
  <si>
    <t>Tipo_Seguro</t>
  </si>
  <si>
    <t>Pontuação_Satisfação</t>
  </si>
  <si>
    <t>Valor_Total_Conta</t>
  </si>
  <si>
    <t>Compromissos_Perdidos</t>
  </si>
  <si>
    <t>Evasão</t>
  </si>
  <si>
    <t xml:space="preserve"> </t>
  </si>
  <si>
    <t>Evasão = 1</t>
  </si>
  <si>
    <t>Qtd_Pacientes</t>
  </si>
  <si>
    <t>Evasão = 0</t>
  </si>
  <si>
    <t>Evasão de Pacientes</t>
  </si>
  <si>
    <t>Pacientes que não saíram</t>
  </si>
  <si>
    <t>46–60</t>
  </si>
  <si>
    <t>60+</t>
  </si>
  <si>
    <t>30–45</t>
  </si>
  <si>
    <t>&lt;30</t>
  </si>
  <si>
    <t>Rótulos de Linha</t>
  </si>
  <si>
    <t>Total Geral</t>
  </si>
  <si>
    <t>Rótulos de Coluna</t>
  </si>
  <si>
    <t>Soma de ID</t>
  </si>
  <si>
    <t>Faixa_Etária</t>
  </si>
  <si>
    <t>Média de Permanência_Meses</t>
  </si>
  <si>
    <t>(vazio)</t>
  </si>
  <si>
    <t>Média de Pontuação_Satisfação</t>
  </si>
  <si>
    <t>Soma de Evasão</t>
  </si>
  <si>
    <t>Média de Evasão</t>
  </si>
  <si>
    <t>Soma de Compromissos_Perdidos</t>
  </si>
  <si>
    <t>%</t>
  </si>
  <si>
    <t>Soma de Visitas_ano_passado</t>
  </si>
  <si>
    <t>Proporção</t>
  </si>
  <si>
    <t>Soma de Valor_Total_Conta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</si>
</sst>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$-409]* #,##0.00_ ;_-[$$-409]* \-#,##0.00\ ;_-[$$-409]* &quot;-&quot;??_ ;_-@_ "/>
  </numFmts>
  <fonts count="5" x14ac:knownFonts="1"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NumberFormat="1" applyFont="1" applyFill="1" applyAlignment="1">
      <alignment horizontal="left"/>
    </xf>
    <xf numFmtId="0" fontId="0" fillId="0" borderId="0" xfId="0" applyNumberFormat="1" applyAlignment="1">
      <alignment horizontal="left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10" fontId="0" fillId="0" borderId="0" xfId="1" applyNumberFormat="1" applyFont="1" applyAlignment="1">
      <alignment horizontal="center"/>
    </xf>
    <xf numFmtId="0" fontId="0" fillId="5" borderId="0" xfId="0" applyFill="1"/>
    <xf numFmtId="0" fontId="0" fillId="6" borderId="0" xfId="0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left"/>
    </xf>
    <xf numFmtId="9" fontId="0" fillId="3" borderId="0" xfId="0" applyNumberFormat="1" applyFill="1"/>
    <xf numFmtId="1" fontId="0" fillId="3" borderId="0" xfId="0" applyNumberFormat="1" applyFill="1" applyAlignment="1">
      <alignment horizontal="right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0" borderId="0" xfId="0" pivotButton="1"/>
    <xf numFmtId="2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9" fontId="0" fillId="4" borderId="0" xfId="0" applyNumberFormat="1" applyFill="1"/>
    <xf numFmtId="0" fontId="0" fillId="6" borderId="0" xfId="0" applyFill="1" applyAlignment="1">
      <alignment horizontal="left"/>
    </xf>
    <xf numFmtId="0" fontId="0" fillId="6" borderId="0" xfId="0" applyNumberFormat="1" applyFill="1"/>
    <xf numFmtId="9" fontId="3" fillId="5" borderId="0" xfId="0" applyNumberFormat="1" applyFont="1" applyFill="1"/>
    <xf numFmtId="10" fontId="0" fillId="0" borderId="0" xfId="0" applyNumberForma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0" fillId="3" borderId="0" xfId="0" applyNumberFormat="1" applyFill="1"/>
    <xf numFmtId="1" fontId="0" fillId="3" borderId="0" xfId="0" applyNumberFormat="1" applyFill="1" applyAlignment="1">
      <alignment horizontal="left"/>
    </xf>
    <xf numFmtId="0" fontId="0" fillId="3" borderId="0" xfId="0" applyNumberFormat="1" applyFill="1"/>
    <xf numFmtId="9" fontId="0" fillId="3" borderId="0" xfId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2" fontId="0" fillId="3" borderId="0" xfId="0" applyNumberFormat="1" applyFill="1"/>
    <xf numFmtId="165" fontId="0" fillId="7" borderId="0" xfId="0" applyNumberFormat="1" applyFill="1"/>
    <xf numFmtId="165" fontId="0" fillId="3" borderId="0" xfId="0" applyNumberFormat="1" applyFill="1"/>
  </cellXfs>
  <cellStyles count="2">
    <cellStyle name="Normal" xfId="0" builtinId="0"/>
    <cellStyle name="Porcentagem" xfId="1" builtinId="5"/>
  </cellStyles>
  <dxfs count="77">
    <dxf>
      <fill>
        <patternFill>
          <bgColor theme="6" tint="0.7999816888943144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 patternType="solid">
          <bgColor theme="6" tint="0.79998168889431442"/>
        </patternFill>
      </fill>
    </dxf>
    <dxf>
      <numFmt numFmtId="34" formatCode="_-&quot;R$&quot;\ * #,##0.00_-;\-&quot;R$&quot;\ * #,##0.00_-;_-&quot;R$&quot;\ * &quot;-&quot;??_-;_-@_-"/>
    </dxf>
    <dxf>
      <numFmt numFmtId="165" formatCode="_-[$$-409]* #,##0.00_ ;_-[$$-409]* \-#,##0.00\ ;_-[$$-409]* &quot;-&quot;??_ ;_-@_ "/>
    </dxf>
    <dxf>
      <numFmt numFmtId="34" formatCode="_-&quot;R$&quot;\ * #,##0.00_-;\-&quot;R$&quot;\ * #,##0.00_-;_-&quot;R$&quot;\ * &quot;-&quot;??_-;_-@_-"/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fill>
        <patternFill patternType="solid">
          <bgColor theme="2" tint="-4.9989318521683403E-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3" formatCode="0%"/>
    </dxf>
    <dxf>
      <numFmt numFmtId="14" formatCode="0.00%"/>
    </dxf>
    <dxf>
      <fill>
        <patternFill patternType="solid"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>
          <bgColor theme="2" tint="-4.9989318521683403E-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colors>
    <mruColors>
      <color rgb="FFFFCCCC"/>
      <color rgb="FFFFB9B7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0">
                <a:solidFill>
                  <a:schemeClr val="tx1"/>
                </a:solidFill>
                <a:latin typeface="Consolas" panose="020B0609020204030204" pitchFamily="49" charset="0"/>
              </a:rPr>
              <a:t>Compromissos Perdidos</a:t>
            </a:r>
            <a:r>
              <a:rPr lang="pt-BR" sz="1200" b="0" baseline="0">
                <a:solidFill>
                  <a:schemeClr val="tx1"/>
                </a:solidFill>
                <a:latin typeface="Consolas" panose="020B0609020204030204" pitchFamily="49" charset="0"/>
              </a:rPr>
              <a:t> x Evasão</a:t>
            </a:r>
            <a:endParaRPr lang="pt-BR" sz="1200" b="0">
              <a:solidFill>
                <a:schemeClr val="tx1"/>
              </a:solidFill>
              <a:latin typeface="Consolas" panose="020B0609020204030204" pitchFamily="49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9681115366588718E-2"/>
          <c:y val="0.28997381699910907"/>
          <c:w val="0.84294443324581914"/>
          <c:h val="0.6673704131657656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rgbClr val="FFCCCC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100000">
                    <a:schemeClr val="accent2">
                      <a:lumMod val="5000"/>
                      <a:lumOff val="95000"/>
                    </a:schemeClr>
                  </a:gs>
                  <a:gs pos="0">
                    <a:schemeClr val="accent2">
                      <a:lumMod val="45000"/>
                      <a:lumOff val="55000"/>
                    </a:schemeClr>
                  </a:gs>
                  <a:gs pos="49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solidFill>
                  <a:srgbClr val="FFCCC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8F-4AAE-A9BF-E393642CADC3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100000">
                    <a:schemeClr val="accent3">
                      <a:lumMod val="5000"/>
                      <a:lumOff val="95000"/>
                    </a:schemeClr>
                  </a:gs>
                  <a:gs pos="100000">
                    <a:schemeClr val="accent3">
                      <a:lumMod val="45000"/>
                      <a:lumOff val="55000"/>
                    </a:schemeClr>
                  </a:gs>
                  <a:gs pos="0">
                    <a:schemeClr val="accent3">
                      <a:lumMod val="45000"/>
                      <a:lumOff val="55000"/>
                    </a:schemeClr>
                  </a:gs>
                  <a:gs pos="67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D8F-4AAE-A9BF-E393642CAD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ex_7!$C$4:$C$5</c:f>
              <c:numCache>
                <c:formatCode>0%</c:formatCode>
                <c:ptCount val="2"/>
                <c:pt idx="0">
                  <c:v>0.73903211216644049</c:v>
                </c:pt>
                <c:pt idx="1">
                  <c:v>0.26096788783355945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F-4AAE-A9BF-E393642CAD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0781295"/>
        <c:axId val="420766415"/>
      </c:barChart>
      <c:catAx>
        <c:axId val="420781295"/>
        <c:scaling>
          <c:orientation val="minMax"/>
        </c:scaling>
        <c:delete val="1"/>
        <c:axPos val="b"/>
        <c:majorTickMark val="out"/>
        <c:minorTickMark val="none"/>
        <c:tickLblPos val="nextTo"/>
        <c:crossAx val="420766415"/>
        <c:crosses val="autoZero"/>
        <c:auto val="1"/>
        <c:lblAlgn val="ctr"/>
        <c:lblOffset val="100"/>
        <c:noMultiLvlLbl val="0"/>
      </c:catAx>
      <c:valAx>
        <c:axId val="420766415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420781295"/>
        <c:crosses val="autoZero"/>
        <c:crossBetween val="between"/>
      </c:valAx>
      <c:spPr>
        <a:solidFill>
          <a:schemeClr val="bg2">
            <a:lumMod val="9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Seguro x Evasão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  <a:alpha val="5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ex_6!$I$1:$K$1</c:f>
              <c:strCache>
                <c:ptCount val="3"/>
                <c:pt idx="0">
                  <c:v>Government</c:v>
                </c:pt>
                <c:pt idx="1">
                  <c:v>None</c:v>
                </c:pt>
                <c:pt idx="2">
                  <c:v>Private</c:v>
                </c:pt>
              </c:strCache>
            </c:strRef>
          </c:cat>
          <c:val>
            <c:numRef>
              <c:f>ex_6!$I$2:$K$2</c:f>
              <c:numCache>
                <c:formatCode>0.00%</c:formatCode>
                <c:ptCount val="3"/>
                <c:pt idx="0">
                  <c:v>0.25555555555555554</c:v>
                </c:pt>
                <c:pt idx="1">
                  <c:v>0.27333333333333332</c:v>
                </c:pt>
                <c:pt idx="2">
                  <c:v>0.21764705882352942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7-4602-8682-725CCB3A7D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8892015"/>
        <c:axId val="298896815"/>
      </c:barChart>
      <c:catAx>
        <c:axId val="298892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8896815"/>
        <c:crosses val="autoZero"/>
        <c:auto val="1"/>
        <c:lblAlgn val="ctr"/>
        <c:lblOffset val="100"/>
        <c:noMultiLvlLbl val="0"/>
      </c:catAx>
      <c:valAx>
        <c:axId val="298896815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29889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665181885671864E-2"/>
          <c:y val="0.11328976034858387"/>
          <c:w val="0.93466963622865629"/>
          <c:h val="0.77559912854030499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100000">
                    <a:schemeClr val="accent2">
                      <a:lumMod val="5000"/>
                      <a:lumOff val="95000"/>
                    </a:schemeClr>
                  </a:gs>
                  <a:gs pos="0">
                    <a:schemeClr val="accent2">
                      <a:lumMod val="45000"/>
                      <a:lumOff val="55000"/>
                    </a:schemeClr>
                  </a:gs>
                  <a:gs pos="48000">
                    <a:schemeClr val="accent2">
                      <a:lumMod val="45000"/>
                      <a:lumOff val="55000"/>
                    </a:schemeClr>
                  </a:gs>
                  <a:gs pos="2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C7E-4B2B-AAED-990178363C6F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100000">
                    <a:schemeClr val="accent3">
                      <a:lumMod val="5000"/>
                      <a:lumOff val="95000"/>
                    </a:schemeClr>
                  </a:gs>
                  <a:gs pos="45000">
                    <a:srgbClr val="FFB9B7"/>
                  </a:gs>
                  <a:gs pos="100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7E-4B2B-AAED-990178363C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ex_5!$E$3:$E$4</c:f>
              <c:numCache>
                <c:formatCode>0%</c:formatCode>
                <c:ptCount val="2"/>
                <c:pt idx="0">
                  <c:v>0.54838709677419351</c:v>
                </c:pt>
                <c:pt idx="1">
                  <c:v>0.45161290322580644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E-4B2B-AAED-990178363C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702911"/>
        <c:axId val="210691871"/>
      </c:barChart>
      <c:catAx>
        <c:axId val="21070291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Evasão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out"/>
        <c:minorTickMark val="none"/>
        <c:tickLblPos val="nextTo"/>
        <c:crossAx val="210691871"/>
        <c:crosses val="autoZero"/>
        <c:auto val="1"/>
        <c:lblAlgn val="ctr"/>
        <c:lblOffset val="100"/>
        <c:noMultiLvlLbl val="0"/>
      </c:catAx>
      <c:valAx>
        <c:axId val="210691871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21070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[patient_churn_dataset.xlsx]ex_3!Tabela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50" b="0" i="0" u="none" strike="noStrike" baseline="0">
                <a:solidFill>
                  <a:schemeClr val="tx1"/>
                </a:solidFill>
              </a:rPr>
              <a:t>Média de Permanência por Status de Evasão</a:t>
            </a:r>
            <a:endParaRPr lang="en-US" sz="1050">
              <a:solidFill>
                <a:schemeClr val="tx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6">
                  <a:lumMod val="5000"/>
                  <a:lumOff val="95000"/>
                </a:schemeClr>
              </a:gs>
              <a:gs pos="0">
                <a:schemeClr val="accent6">
                  <a:lumMod val="45000"/>
                  <a:lumOff val="55000"/>
                </a:schemeClr>
              </a:gs>
              <a:gs pos="0">
                <a:schemeClr val="accent6">
                  <a:lumMod val="45000"/>
                  <a:lumOff val="55000"/>
                </a:schemeClr>
              </a:gs>
              <a:gs pos="54000">
                <a:schemeClr val="accent6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"/>
        <c:spPr>
          <a:gradFill flip="none" rotWithShape="1">
            <a:gsLst>
              <a:gs pos="0">
                <a:schemeClr val="accent2">
                  <a:lumMod val="5000"/>
                  <a:lumOff val="95000"/>
                </a:schemeClr>
              </a:gs>
              <a:gs pos="0">
                <a:schemeClr val="accent2">
                  <a:lumMod val="45000"/>
                  <a:lumOff val="55000"/>
                </a:schemeClr>
              </a:gs>
              <a:gs pos="0">
                <a:schemeClr val="accent2">
                  <a:lumMod val="45000"/>
                  <a:lumOff val="55000"/>
                </a:schemeClr>
              </a:gs>
              <a:gs pos="74000">
                <a:schemeClr val="accent2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2620020598691E-2"/>
          <c:y val="0.29050177551335493"/>
          <c:w val="0.90060719625236729"/>
          <c:h val="0.4307333642118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ex_3!$E$1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0">
                    <a:schemeClr val="accent2">
                      <a:lumMod val="45000"/>
                      <a:lumOff val="55000"/>
                    </a:schemeClr>
                  </a:gs>
                  <a:gs pos="0">
                    <a:schemeClr val="accent2">
                      <a:lumMod val="45000"/>
                      <a:lumOff val="55000"/>
                    </a:schemeClr>
                  </a:gs>
                  <a:gs pos="74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57-4012-AC9F-2906E0550F03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0">
                    <a:schemeClr val="accent6">
                      <a:lumMod val="45000"/>
                      <a:lumOff val="55000"/>
                    </a:schemeClr>
                  </a:gs>
                  <a:gs pos="0">
                    <a:schemeClr val="accent6">
                      <a:lumMod val="45000"/>
                      <a:lumOff val="55000"/>
                    </a:schemeClr>
                  </a:gs>
                  <a:gs pos="54000">
                    <a:schemeClr val="accent6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57-4012-AC9F-2906E0550F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ex_3!$D$2:$D$4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ex_3!$E$2:$E$4</c:f>
              <c:numCache>
                <c:formatCode>0.00</c:formatCode>
                <c:ptCount val="2"/>
                <c:pt idx="0">
                  <c:v>29.404255319148938</c:v>
                </c:pt>
                <c:pt idx="1">
                  <c:v>29.782258064516128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7-4012-AC9F-2906E0550F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6134720"/>
        <c:axId val="1046135200"/>
      </c:barChart>
      <c:catAx>
        <c:axId val="104613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0 = Não evasão</a:t>
                </a:r>
              </a:p>
              <a:p>
                <a:pPr>
                  <a:defRPr/>
                </a:pPr>
                <a:r>
                  <a:rPr lang="pt-BR">
                    <a:solidFill>
                      <a:schemeClr val="tx1"/>
                    </a:solidFill>
                  </a:rPr>
                  <a:t>1 = Evasão</a:t>
                </a:r>
              </a:p>
            </c:rich>
          </c:tx>
          <c:layout>
            <c:manualLayout>
              <c:xMode val="edge"/>
              <c:yMode val="edge"/>
              <c:x val="0.39388205588225522"/>
              <c:y val="0.782747744767198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6135200"/>
        <c:crosses val="autoZero"/>
        <c:auto val="1"/>
        <c:lblAlgn val="ctr"/>
        <c:lblOffset val="100"/>
        <c:noMultiLvlLbl val="0"/>
      </c:catAx>
      <c:valAx>
        <c:axId val="10461352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>
                    <a:solidFill>
                      <a:schemeClr val="tx1"/>
                    </a:solidFill>
                  </a:rPr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crossAx val="10461347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percentStacked"/>
        <c:varyColors val="0"/>
        <c:ser>
          <c:idx val="0"/>
          <c:order val="0"/>
          <c:tx>
            <c:strRef>
              <c:f>ex_3!$A$1</c:f>
              <c:strCache>
                <c:ptCount val="1"/>
                <c:pt idx="0">
                  <c:v>Evasão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ex_3!$A$2:$A$501</c:f>
              <c:numCache>
                <c:formatCode>0</c:formatCode>
                <c:ptCount val="50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0-410C-BD75-4FDA760ECE9C}"/>
            </c:ext>
          </c:extLst>
        </c:ser>
        <c:ser>
          <c:idx val="1"/>
          <c:order val="1"/>
          <c:tx>
            <c:strRef>
              <c:f>ex_3!$B$1</c:f>
              <c:strCache>
                <c:ptCount val="1"/>
                <c:pt idx="0">
                  <c:v>Permanência_Meses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ex_3!$B$2:$B$501</c:f>
              <c:numCache>
                <c:formatCode>0</c:formatCode>
                <c:ptCount val="500"/>
                <c:pt idx="0">
                  <c:v>2</c:v>
                </c:pt>
                <c:pt idx="1">
                  <c:v>10</c:v>
                </c:pt>
                <c:pt idx="2">
                  <c:v>56</c:v>
                </c:pt>
                <c:pt idx="3">
                  <c:v>30</c:v>
                </c:pt>
                <c:pt idx="4">
                  <c:v>50</c:v>
                </c:pt>
                <c:pt idx="5">
                  <c:v>59</c:v>
                </c:pt>
                <c:pt idx="6">
                  <c:v>45</c:v>
                </c:pt>
                <c:pt idx="7">
                  <c:v>5</c:v>
                </c:pt>
                <c:pt idx="8">
                  <c:v>55</c:v>
                </c:pt>
                <c:pt idx="9">
                  <c:v>56</c:v>
                </c:pt>
                <c:pt idx="10">
                  <c:v>33</c:v>
                </c:pt>
                <c:pt idx="11">
                  <c:v>54</c:v>
                </c:pt>
                <c:pt idx="12">
                  <c:v>1</c:v>
                </c:pt>
                <c:pt idx="13">
                  <c:v>18</c:v>
                </c:pt>
                <c:pt idx="14">
                  <c:v>32</c:v>
                </c:pt>
                <c:pt idx="15">
                  <c:v>47</c:v>
                </c:pt>
                <c:pt idx="16">
                  <c:v>49</c:v>
                </c:pt>
                <c:pt idx="17">
                  <c:v>11</c:v>
                </c:pt>
                <c:pt idx="18">
                  <c:v>21</c:v>
                </c:pt>
                <c:pt idx="19">
                  <c:v>26</c:v>
                </c:pt>
                <c:pt idx="20">
                  <c:v>25</c:v>
                </c:pt>
                <c:pt idx="21">
                  <c:v>22</c:v>
                </c:pt>
                <c:pt idx="22">
                  <c:v>59</c:v>
                </c:pt>
                <c:pt idx="23">
                  <c:v>27</c:v>
                </c:pt>
                <c:pt idx="24">
                  <c:v>49</c:v>
                </c:pt>
                <c:pt idx="25">
                  <c:v>13</c:v>
                </c:pt>
                <c:pt idx="26">
                  <c:v>33</c:v>
                </c:pt>
                <c:pt idx="27">
                  <c:v>34</c:v>
                </c:pt>
                <c:pt idx="28">
                  <c:v>41</c:v>
                </c:pt>
                <c:pt idx="29">
                  <c:v>35</c:v>
                </c:pt>
                <c:pt idx="30">
                  <c:v>1</c:v>
                </c:pt>
                <c:pt idx="31">
                  <c:v>21</c:v>
                </c:pt>
                <c:pt idx="32">
                  <c:v>48</c:v>
                </c:pt>
                <c:pt idx="33">
                  <c:v>55</c:v>
                </c:pt>
                <c:pt idx="34">
                  <c:v>6</c:v>
                </c:pt>
                <c:pt idx="35">
                  <c:v>28</c:v>
                </c:pt>
                <c:pt idx="36">
                  <c:v>17</c:v>
                </c:pt>
                <c:pt idx="37">
                  <c:v>5</c:v>
                </c:pt>
                <c:pt idx="38">
                  <c:v>31</c:v>
                </c:pt>
                <c:pt idx="39">
                  <c:v>5</c:v>
                </c:pt>
                <c:pt idx="40">
                  <c:v>38</c:v>
                </c:pt>
                <c:pt idx="41">
                  <c:v>3</c:v>
                </c:pt>
                <c:pt idx="42">
                  <c:v>53</c:v>
                </c:pt>
                <c:pt idx="43">
                  <c:v>23</c:v>
                </c:pt>
                <c:pt idx="44">
                  <c:v>37</c:v>
                </c:pt>
                <c:pt idx="45">
                  <c:v>53</c:v>
                </c:pt>
                <c:pt idx="46">
                  <c:v>37</c:v>
                </c:pt>
                <c:pt idx="47">
                  <c:v>10</c:v>
                </c:pt>
                <c:pt idx="48">
                  <c:v>10</c:v>
                </c:pt>
                <c:pt idx="49">
                  <c:v>19</c:v>
                </c:pt>
                <c:pt idx="50">
                  <c:v>17</c:v>
                </c:pt>
                <c:pt idx="51">
                  <c:v>21</c:v>
                </c:pt>
                <c:pt idx="52">
                  <c:v>14</c:v>
                </c:pt>
                <c:pt idx="53">
                  <c:v>9</c:v>
                </c:pt>
                <c:pt idx="54">
                  <c:v>46</c:v>
                </c:pt>
                <c:pt idx="55">
                  <c:v>1</c:v>
                </c:pt>
                <c:pt idx="56">
                  <c:v>51</c:v>
                </c:pt>
                <c:pt idx="57">
                  <c:v>45</c:v>
                </c:pt>
                <c:pt idx="58">
                  <c:v>13</c:v>
                </c:pt>
                <c:pt idx="59">
                  <c:v>4</c:v>
                </c:pt>
                <c:pt idx="60">
                  <c:v>1</c:v>
                </c:pt>
                <c:pt idx="61">
                  <c:v>49</c:v>
                </c:pt>
                <c:pt idx="62">
                  <c:v>40</c:v>
                </c:pt>
                <c:pt idx="63">
                  <c:v>32</c:v>
                </c:pt>
                <c:pt idx="64">
                  <c:v>34</c:v>
                </c:pt>
                <c:pt idx="65">
                  <c:v>28</c:v>
                </c:pt>
                <c:pt idx="66">
                  <c:v>31</c:v>
                </c:pt>
                <c:pt idx="67">
                  <c:v>8</c:v>
                </c:pt>
                <c:pt idx="68">
                  <c:v>39</c:v>
                </c:pt>
                <c:pt idx="69">
                  <c:v>26</c:v>
                </c:pt>
                <c:pt idx="70">
                  <c:v>58</c:v>
                </c:pt>
                <c:pt idx="71">
                  <c:v>34</c:v>
                </c:pt>
                <c:pt idx="72">
                  <c:v>54</c:v>
                </c:pt>
                <c:pt idx="73">
                  <c:v>54</c:v>
                </c:pt>
                <c:pt idx="74">
                  <c:v>3</c:v>
                </c:pt>
                <c:pt idx="75">
                  <c:v>59</c:v>
                </c:pt>
                <c:pt idx="76">
                  <c:v>50</c:v>
                </c:pt>
                <c:pt idx="77">
                  <c:v>12</c:v>
                </c:pt>
                <c:pt idx="78">
                  <c:v>1</c:v>
                </c:pt>
                <c:pt idx="79">
                  <c:v>54</c:v>
                </c:pt>
                <c:pt idx="80">
                  <c:v>44</c:v>
                </c:pt>
                <c:pt idx="81">
                  <c:v>5</c:v>
                </c:pt>
                <c:pt idx="82">
                  <c:v>30</c:v>
                </c:pt>
                <c:pt idx="83">
                  <c:v>30</c:v>
                </c:pt>
                <c:pt idx="84">
                  <c:v>59</c:v>
                </c:pt>
                <c:pt idx="85">
                  <c:v>57</c:v>
                </c:pt>
                <c:pt idx="86">
                  <c:v>17</c:v>
                </c:pt>
                <c:pt idx="87">
                  <c:v>48</c:v>
                </c:pt>
                <c:pt idx="88">
                  <c:v>47</c:v>
                </c:pt>
                <c:pt idx="89">
                  <c:v>23</c:v>
                </c:pt>
                <c:pt idx="90">
                  <c:v>15</c:v>
                </c:pt>
                <c:pt idx="91">
                  <c:v>37</c:v>
                </c:pt>
                <c:pt idx="92">
                  <c:v>21</c:v>
                </c:pt>
                <c:pt idx="93">
                  <c:v>14</c:v>
                </c:pt>
                <c:pt idx="94">
                  <c:v>2</c:v>
                </c:pt>
                <c:pt idx="95">
                  <c:v>11</c:v>
                </c:pt>
                <c:pt idx="96">
                  <c:v>51</c:v>
                </c:pt>
                <c:pt idx="97">
                  <c:v>39</c:v>
                </c:pt>
                <c:pt idx="98">
                  <c:v>38</c:v>
                </c:pt>
                <c:pt idx="99">
                  <c:v>34</c:v>
                </c:pt>
                <c:pt idx="100">
                  <c:v>38</c:v>
                </c:pt>
                <c:pt idx="101">
                  <c:v>50</c:v>
                </c:pt>
                <c:pt idx="102">
                  <c:v>34</c:v>
                </c:pt>
                <c:pt idx="103">
                  <c:v>18</c:v>
                </c:pt>
                <c:pt idx="104">
                  <c:v>30</c:v>
                </c:pt>
                <c:pt idx="105">
                  <c:v>15</c:v>
                </c:pt>
                <c:pt idx="106">
                  <c:v>27</c:v>
                </c:pt>
                <c:pt idx="107">
                  <c:v>51</c:v>
                </c:pt>
                <c:pt idx="108">
                  <c:v>34</c:v>
                </c:pt>
                <c:pt idx="109">
                  <c:v>52</c:v>
                </c:pt>
                <c:pt idx="110">
                  <c:v>57</c:v>
                </c:pt>
                <c:pt idx="111">
                  <c:v>38</c:v>
                </c:pt>
                <c:pt idx="112">
                  <c:v>33</c:v>
                </c:pt>
                <c:pt idx="113">
                  <c:v>24</c:v>
                </c:pt>
                <c:pt idx="114">
                  <c:v>15</c:v>
                </c:pt>
                <c:pt idx="115">
                  <c:v>30</c:v>
                </c:pt>
                <c:pt idx="116">
                  <c:v>55</c:v>
                </c:pt>
                <c:pt idx="117">
                  <c:v>42</c:v>
                </c:pt>
                <c:pt idx="118">
                  <c:v>51</c:v>
                </c:pt>
                <c:pt idx="119">
                  <c:v>17</c:v>
                </c:pt>
                <c:pt idx="120">
                  <c:v>5</c:v>
                </c:pt>
                <c:pt idx="121">
                  <c:v>29</c:v>
                </c:pt>
                <c:pt idx="122">
                  <c:v>4</c:v>
                </c:pt>
                <c:pt idx="123">
                  <c:v>10</c:v>
                </c:pt>
                <c:pt idx="124">
                  <c:v>56</c:v>
                </c:pt>
                <c:pt idx="125">
                  <c:v>17</c:v>
                </c:pt>
                <c:pt idx="126">
                  <c:v>10</c:v>
                </c:pt>
                <c:pt idx="127">
                  <c:v>17</c:v>
                </c:pt>
                <c:pt idx="128">
                  <c:v>20</c:v>
                </c:pt>
                <c:pt idx="129">
                  <c:v>24</c:v>
                </c:pt>
                <c:pt idx="130">
                  <c:v>5</c:v>
                </c:pt>
                <c:pt idx="131">
                  <c:v>34</c:v>
                </c:pt>
                <c:pt idx="132">
                  <c:v>6</c:v>
                </c:pt>
                <c:pt idx="133">
                  <c:v>53</c:v>
                </c:pt>
                <c:pt idx="134">
                  <c:v>2</c:v>
                </c:pt>
                <c:pt idx="135">
                  <c:v>13</c:v>
                </c:pt>
                <c:pt idx="136">
                  <c:v>43</c:v>
                </c:pt>
                <c:pt idx="137">
                  <c:v>43</c:v>
                </c:pt>
                <c:pt idx="138">
                  <c:v>48</c:v>
                </c:pt>
                <c:pt idx="139">
                  <c:v>11</c:v>
                </c:pt>
                <c:pt idx="140">
                  <c:v>51</c:v>
                </c:pt>
                <c:pt idx="141">
                  <c:v>47</c:v>
                </c:pt>
                <c:pt idx="142">
                  <c:v>57</c:v>
                </c:pt>
                <c:pt idx="143">
                  <c:v>23</c:v>
                </c:pt>
                <c:pt idx="144">
                  <c:v>55</c:v>
                </c:pt>
                <c:pt idx="145">
                  <c:v>16</c:v>
                </c:pt>
                <c:pt idx="146">
                  <c:v>31</c:v>
                </c:pt>
                <c:pt idx="147">
                  <c:v>11</c:v>
                </c:pt>
                <c:pt idx="148">
                  <c:v>54</c:v>
                </c:pt>
                <c:pt idx="149">
                  <c:v>16</c:v>
                </c:pt>
                <c:pt idx="150">
                  <c:v>8</c:v>
                </c:pt>
                <c:pt idx="151">
                  <c:v>4</c:v>
                </c:pt>
                <c:pt idx="152">
                  <c:v>40</c:v>
                </c:pt>
                <c:pt idx="153">
                  <c:v>4</c:v>
                </c:pt>
                <c:pt idx="154">
                  <c:v>56</c:v>
                </c:pt>
                <c:pt idx="155">
                  <c:v>25</c:v>
                </c:pt>
                <c:pt idx="156">
                  <c:v>3</c:v>
                </c:pt>
                <c:pt idx="157">
                  <c:v>32</c:v>
                </c:pt>
                <c:pt idx="158">
                  <c:v>3</c:v>
                </c:pt>
                <c:pt idx="159">
                  <c:v>27</c:v>
                </c:pt>
                <c:pt idx="160">
                  <c:v>29</c:v>
                </c:pt>
                <c:pt idx="161">
                  <c:v>32</c:v>
                </c:pt>
                <c:pt idx="162">
                  <c:v>50</c:v>
                </c:pt>
                <c:pt idx="163">
                  <c:v>58</c:v>
                </c:pt>
                <c:pt idx="164">
                  <c:v>51</c:v>
                </c:pt>
                <c:pt idx="165">
                  <c:v>19</c:v>
                </c:pt>
                <c:pt idx="166">
                  <c:v>21</c:v>
                </c:pt>
                <c:pt idx="167">
                  <c:v>5</c:v>
                </c:pt>
                <c:pt idx="168">
                  <c:v>18</c:v>
                </c:pt>
                <c:pt idx="169">
                  <c:v>28</c:v>
                </c:pt>
                <c:pt idx="170">
                  <c:v>42</c:v>
                </c:pt>
                <c:pt idx="171">
                  <c:v>22</c:v>
                </c:pt>
                <c:pt idx="172">
                  <c:v>21</c:v>
                </c:pt>
                <c:pt idx="173">
                  <c:v>6</c:v>
                </c:pt>
                <c:pt idx="174">
                  <c:v>1</c:v>
                </c:pt>
                <c:pt idx="175">
                  <c:v>5</c:v>
                </c:pt>
                <c:pt idx="176">
                  <c:v>41</c:v>
                </c:pt>
                <c:pt idx="177">
                  <c:v>12</c:v>
                </c:pt>
                <c:pt idx="178">
                  <c:v>26</c:v>
                </c:pt>
                <c:pt idx="179">
                  <c:v>46</c:v>
                </c:pt>
                <c:pt idx="180">
                  <c:v>34</c:v>
                </c:pt>
                <c:pt idx="181">
                  <c:v>49</c:v>
                </c:pt>
                <c:pt idx="182">
                  <c:v>14</c:v>
                </c:pt>
                <c:pt idx="183">
                  <c:v>26</c:v>
                </c:pt>
                <c:pt idx="184">
                  <c:v>45</c:v>
                </c:pt>
                <c:pt idx="185">
                  <c:v>27</c:v>
                </c:pt>
                <c:pt idx="186">
                  <c:v>9</c:v>
                </c:pt>
                <c:pt idx="187">
                  <c:v>26</c:v>
                </c:pt>
                <c:pt idx="188">
                  <c:v>57</c:v>
                </c:pt>
                <c:pt idx="189">
                  <c:v>47</c:v>
                </c:pt>
                <c:pt idx="190">
                  <c:v>57</c:v>
                </c:pt>
                <c:pt idx="191">
                  <c:v>22</c:v>
                </c:pt>
                <c:pt idx="192">
                  <c:v>47</c:v>
                </c:pt>
                <c:pt idx="193">
                  <c:v>56</c:v>
                </c:pt>
                <c:pt idx="194">
                  <c:v>30</c:v>
                </c:pt>
                <c:pt idx="195">
                  <c:v>43</c:v>
                </c:pt>
                <c:pt idx="196">
                  <c:v>48</c:v>
                </c:pt>
                <c:pt idx="197">
                  <c:v>17</c:v>
                </c:pt>
                <c:pt idx="198">
                  <c:v>26</c:v>
                </c:pt>
                <c:pt idx="199">
                  <c:v>36</c:v>
                </c:pt>
                <c:pt idx="200">
                  <c:v>1</c:v>
                </c:pt>
                <c:pt idx="201">
                  <c:v>8</c:v>
                </c:pt>
                <c:pt idx="202">
                  <c:v>49</c:v>
                </c:pt>
                <c:pt idx="203">
                  <c:v>35</c:v>
                </c:pt>
                <c:pt idx="204">
                  <c:v>52</c:v>
                </c:pt>
                <c:pt idx="205">
                  <c:v>15</c:v>
                </c:pt>
                <c:pt idx="206">
                  <c:v>47</c:v>
                </c:pt>
                <c:pt idx="207">
                  <c:v>56</c:v>
                </c:pt>
                <c:pt idx="208">
                  <c:v>22</c:v>
                </c:pt>
                <c:pt idx="209">
                  <c:v>14</c:v>
                </c:pt>
                <c:pt idx="210">
                  <c:v>26</c:v>
                </c:pt>
                <c:pt idx="211">
                  <c:v>28</c:v>
                </c:pt>
                <c:pt idx="212">
                  <c:v>23</c:v>
                </c:pt>
                <c:pt idx="213">
                  <c:v>14</c:v>
                </c:pt>
                <c:pt idx="214">
                  <c:v>24</c:v>
                </c:pt>
                <c:pt idx="215">
                  <c:v>2</c:v>
                </c:pt>
                <c:pt idx="216">
                  <c:v>45</c:v>
                </c:pt>
                <c:pt idx="217">
                  <c:v>26</c:v>
                </c:pt>
                <c:pt idx="218">
                  <c:v>14</c:v>
                </c:pt>
                <c:pt idx="219">
                  <c:v>59</c:v>
                </c:pt>
                <c:pt idx="220">
                  <c:v>56</c:v>
                </c:pt>
                <c:pt idx="221">
                  <c:v>51</c:v>
                </c:pt>
                <c:pt idx="222">
                  <c:v>7</c:v>
                </c:pt>
                <c:pt idx="223">
                  <c:v>3</c:v>
                </c:pt>
                <c:pt idx="224">
                  <c:v>47</c:v>
                </c:pt>
                <c:pt idx="225">
                  <c:v>23</c:v>
                </c:pt>
                <c:pt idx="226">
                  <c:v>46</c:v>
                </c:pt>
                <c:pt idx="227">
                  <c:v>43</c:v>
                </c:pt>
                <c:pt idx="228">
                  <c:v>47</c:v>
                </c:pt>
                <c:pt idx="229">
                  <c:v>45</c:v>
                </c:pt>
                <c:pt idx="230">
                  <c:v>18</c:v>
                </c:pt>
                <c:pt idx="231">
                  <c:v>58</c:v>
                </c:pt>
                <c:pt idx="232">
                  <c:v>38</c:v>
                </c:pt>
                <c:pt idx="233">
                  <c:v>35</c:v>
                </c:pt>
                <c:pt idx="234">
                  <c:v>51</c:v>
                </c:pt>
                <c:pt idx="235">
                  <c:v>15</c:v>
                </c:pt>
                <c:pt idx="236">
                  <c:v>25</c:v>
                </c:pt>
                <c:pt idx="237">
                  <c:v>55</c:v>
                </c:pt>
                <c:pt idx="238">
                  <c:v>37</c:v>
                </c:pt>
                <c:pt idx="239">
                  <c:v>28</c:v>
                </c:pt>
                <c:pt idx="240">
                  <c:v>10</c:v>
                </c:pt>
                <c:pt idx="241">
                  <c:v>39</c:v>
                </c:pt>
                <c:pt idx="242">
                  <c:v>57</c:v>
                </c:pt>
                <c:pt idx="243">
                  <c:v>17</c:v>
                </c:pt>
                <c:pt idx="244">
                  <c:v>39</c:v>
                </c:pt>
                <c:pt idx="245">
                  <c:v>22</c:v>
                </c:pt>
                <c:pt idx="246">
                  <c:v>26</c:v>
                </c:pt>
                <c:pt idx="247">
                  <c:v>44</c:v>
                </c:pt>
                <c:pt idx="248">
                  <c:v>25</c:v>
                </c:pt>
                <c:pt idx="249">
                  <c:v>17</c:v>
                </c:pt>
                <c:pt idx="250">
                  <c:v>13</c:v>
                </c:pt>
                <c:pt idx="251">
                  <c:v>20</c:v>
                </c:pt>
                <c:pt idx="252">
                  <c:v>25</c:v>
                </c:pt>
                <c:pt idx="253">
                  <c:v>4</c:v>
                </c:pt>
                <c:pt idx="254">
                  <c:v>10</c:v>
                </c:pt>
                <c:pt idx="255">
                  <c:v>3</c:v>
                </c:pt>
                <c:pt idx="256">
                  <c:v>41</c:v>
                </c:pt>
                <c:pt idx="257">
                  <c:v>45</c:v>
                </c:pt>
                <c:pt idx="258">
                  <c:v>18</c:v>
                </c:pt>
                <c:pt idx="259">
                  <c:v>47</c:v>
                </c:pt>
                <c:pt idx="260">
                  <c:v>36</c:v>
                </c:pt>
                <c:pt idx="261">
                  <c:v>47</c:v>
                </c:pt>
                <c:pt idx="262">
                  <c:v>22</c:v>
                </c:pt>
                <c:pt idx="263">
                  <c:v>34</c:v>
                </c:pt>
                <c:pt idx="264">
                  <c:v>47</c:v>
                </c:pt>
                <c:pt idx="265">
                  <c:v>8</c:v>
                </c:pt>
                <c:pt idx="266">
                  <c:v>40</c:v>
                </c:pt>
                <c:pt idx="267">
                  <c:v>49</c:v>
                </c:pt>
                <c:pt idx="268">
                  <c:v>44</c:v>
                </c:pt>
                <c:pt idx="269">
                  <c:v>19</c:v>
                </c:pt>
                <c:pt idx="270">
                  <c:v>42</c:v>
                </c:pt>
                <c:pt idx="271">
                  <c:v>41</c:v>
                </c:pt>
                <c:pt idx="272">
                  <c:v>37</c:v>
                </c:pt>
                <c:pt idx="273">
                  <c:v>6</c:v>
                </c:pt>
                <c:pt idx="274">
                  <c:v>52</c:v>
                </c:pt>
                <c:pt idx="275">
                  <c:v>26</c:v>
                </c:pt>
                <c:pt idx="276">
                  <c:v>34</c:v>
                </c:pt>
                <c:pt idx="277">
                  <c:v>59</c:v>
                </c:pt>
                <c:pt idx="278">
                  <c:v>56</c:v>
                </c:pt>
                <c:pt idx="279">
                  <c:v>59</c:v>
                </c:pt>
                <c:pt idx="280">
                  <c:v>45</c:v>
                </c:pt>
                <c:pt idx="281">
                  <c:v>6</c:v>
                </c:pt>
                <c:pt idx="282">
                  <c:v>37</c:v>
                </c:pt>
                <c:pt idx="283">
                  <c:v>57</c:v>
                </c:pt>
                <c:pt idx="284">
                  <c:v>33</c:v>
                </c:pt>
                <c:pt idx="285">
                  <c:v>53</c:v>
                </c:pt>
                <c:pt idx="286">
                  <c:v>22</c:v>
                </c:pt>
                <c:pt idx="287">
                  <c:v>21</c:v>
                </c:pt>
                <c:pt idx="288">
                  <c:v>6</c:v>
                </c:pt>
                <c:pt idx="289">
                  <c:v>6</c:v>
                </c:pt>
                <c:pt idx="290">
                  <c:v>55</c:v>
                </c:pt>
                <c:pt idx="291">
                  <c:v>48</c:v>
                </c:pt>
                <c:pt idx="292">
                  <c:v>4</c:v>
                </c:pt>
                <c:pt idx="293">
                  <c:v>30</c:v>
                </c:pt>
                <c:pt idx="294">
                  <c:v>11</c:v>
                </c:pt>
                <c:pt idx="295">
                  <c:v>30</c:v>
                </c:pt>
                <c:pt idx="296">
                  <c:v>31</c:v>
                </c:pt>
                <c:pt idx="297">
                  <c:v>24</c:v>
                </c:pt>
                <c:pt idx="298">
                  <c:v>55</c:v>
                </c:pt>
                <c:pt idx="299">
                  <c:v>9</c:v>
                </c:pt>
                <c:pt idx="300">
                  <c:v>55</c:v>
                </c:pt>
                <c:pt idx="301">
                  <c:v>3</c:v>
                </c:pt>
                <c:pt idx="302">
                  <c:v>51</c:v>
                </c:pt>
                <c:pt idx="303">
                  <c:v>31</c:v>
                </c:pt>
                <c:pt idx="304">
                  <c:v>40</c:v>
                </c:pt>
                <c:pt idx="305">
                  <c:v>37</c:v>
                </c:pt>
                <c:pt idx="306">
                  <c:v>36</c:v>
                </c:pt>
                <c:pt idx="307">
                  <c:v>24</c:v>
                </c:pt>
                <c:pt idx="308">
                  <c:v>31</c:v>
                </c:pt>
                <c:pt idx="309">
                  <c:v>6</c:v>
                </c:pt>
                <c:pt idx="310">
                  <c:v>2</c:v>
                </c:pt>
                <c:pt idx="311">
                  <c:v>20</c:v>
                </c:pt>
                <c:pt idx="312">
                  <c:v>28</c:v>
                </c:pt>
                <c:pt idx="313">
                  <c:v>11</c:v>
                </c:pt>
                <c:pt idx="314">
                  <c:v>4</c:v>
                </c:pt>
                <c:pt idx="315">
                  <c:v>15</c:v>
                </c:pt>
                <c:pt idx="316">
                  <c:v>6</c:v>
                </c:pt>
                <c:pt idx="317">
                  <c:v>54</c:v>
                </c:pt>
                <c:pt idx="318">
                  <c:v>49</c:v>
                </c:pt>
                <c:pt idx="319">
                  <c:v>30</c:v>
                </c:pt>
                <c:pt idx="320">
                  <c:v>56</c:v>
                </c:pt>
                <c:pt idx="321">
                  <c:v>38</c:v>
                </c:pt>
                <c:pt idx="322">
                  <c:v>51</c:v>
                </c:pt>
                <c:pt idx="323">
                  <c:v>57</c:v>
                </c:pt>
                <c:pt idx="324">
                  <c:v>2</c:v>
                </c:pt>
                <c:pt idx="325">
                  <c:v>15</c:v>
                </c:pt>
                <c:pt idx="326">
                  <c:v>11</c:v>
                </c:pt>
                <c:pt idx="327">
                  <c:v>8</c:v>
                </c:pt>
                <c:pt idx="328">
                  <c:v>26</c:v>
                </c:pt>
                <c:pt idx="329">
                  <c:v>51</c:v>
                </c:pt>
                <c:pt idx="330">
                  <c:v>45</c:v>
                </c:pt>
                <c:pt idx="331">
                  <c:v>44</c:v>
                </c:pt>
                <c:pt idx="332">
                  <c:v>5</c:v>
                </c:pt>
                <c:pt idx="333">
                  <c:v>6</c:v>
                </c:pt>
                <c:pt idx="334">
                  <c:v>26</c:v>
                </c:pt>
                <c:pt idx="335">
                  <c:v>54</c:v>
                </c:pt>
                <c:pt idx="336">
                  <c:v>4</c:v>
                </c:pt>
                <c:pt idx="337">
                  <c:v>19</c:v>
                </c:pt>
                <c:pt idx="338">
                  <c:v>20</c:v>
                </c:pt>
                <c:pt idx="339">
                  <c:v>33</c:v>
                </c:pt>
                <c:pt idx="340">
                  <c:v>20</c:v>
                </c:pt>
                <c:pt idx="341">
                  <c:v>49</c:v>
                </c:pt>
                <c:pt idx="342">
                  <c:v>12</c:v>
                </c:pt>
                <c:pt idx="343">
                  <c:v>47</c:v>
                </c:pt>
                <c:pt idx="344">
                  <c:v>1</c:v>
                </c:pt>
                <c:pt idx="345">
                  <c:v>26</c:v>
                </c:pt>
                <c:pt idx="346">
                  <c:v>14</c:v>
                </c:pt>
                <c:pt idx="347">
                  <c:v>38</c:v>
                </c:pt>
                <c:pt idx="348">
                  <c:v>37</c:v>
                </c:pt>
                <c:pt idx="349">
                  <c:v>11</c:v>
                </c:pt>
                <c:pt idx="350">
                  <c:v>36</c:v>
                </c:pt>
                <c:pt idx="351">
                  <c:v>13</c:v>
                </c:pt>
                <c:pt idx="352">
                  <c:v>43</c:v>
                </c:pt>
                <c:pt idx="353">
                  <c:v>3</c:v>
                </c:pt>
                <c:pt idx="354">
                  <c:v>33</c:v>
                </c:pt>
                <c:pt idx="355">
                  <c:v>6</c:v>
                </c:pt>
                <c:pt idx="356">
                  <c:v>50</c:v>
                </c:pt>
                <c:pt idx="357">
                  <c:v>56</c:v>
                </c:pt>
                <c:pt idx="358">
                  <c:v>10</c:v>
                </c:pt>
                <c:pt idx="359">
                  <c:v>5</c:v>
                </c:pt>
                <c:pt idx="360">
                  <c:v>23</c:v>
                </c:pt>
                <c:pt idx="361">
                  <c:v>10</c:v>
                </c:pt>
                <c:pt idx="362">
                  <c:v>44</c:v>
                </c:pt>
                <c:pt idx="363">
                  <c:v>2</c:v>
                </c:pt>
                <c:pt idx="364">
                  <c:v>13</c:v>
                </c:pt>
                <c:pt idx="365">
                  <c:v>40</c:v>
                </c:pt>
                <c:pt idx="366">
                  <c:v>2</c:v>
                </c:pt>
                <c:pt idx="367">
                  <c:v>20</c:v>
                </c:pt>
                <c:pt idx="368">
                  <c:v>1</c:v>
                </c:pt>
                <c:pt idx="369">
                  <c:v>37</c:v>
                </c:pt>
                <c:pt idx="370">
                  <c:v>9</c:v>
                </c:pt>
                <c:pt idx="371">
                  <c:v>17</c:v>
                </c:pt>
                <c:pt idx="372">
                  <c:v>9</c:v>
                </c:pt>
                <c:pt idx="373">
                  <c:v>11</c:v>
                </c:pt>
                <c:pt idx="374">
                  <c:v>15</c:v>
                </c:pt>
                <c:pt idx="375">
                  <c:v>24</c:v>
                </c:pt>
                <c:pt idx="376">
                  <c:v>38</c:v>
                </c:pt>
                <c:pt idx="377">
                  <c:v>55</c:v>
                </c:pt>
                <c:pt idx="378">
                  <c:v>35</c:v>
                </c:pt>
                <c:pt idx="379">
                  <c:v>30</c:v>
                </c:pt>
                <c:pt idx="380">
                  <c:v>31</c:v>
                </c:pt>
                <c:pt idx="381">
                  <c:v>49</c:v>
                </c:pt>
                <c:pt idx="382">
                  <c:v>5</c:v>
                </c:pt>
                <c:pt idx="383">
                  <c:v>44</c:v>
                </c:pt>
                <c:pt idx="384">
                  <c:v>50</c:v>
                </c:pt>
                <c:pt idx="385">
                  <c:v>14</c:v>
                </c:pt>
                <c:pt idx="386">
                  <c:v>53</c:v>
                </c:pt>
                <c:pt idx="387">
                  <c:v>56</c:v>
                </c:pt>
                <c:pt idx="388">
                  <c:v>11</c:v>
                </c:pt>
                <c:pt idx="389">
                  <c:v>9</c:v>
                </c:pt>
                <c:pt idx="390">
                  <c:v>34</c:v>
                </c:pt>
                <c:pt idx="391">
                  <c:v>12</c:v>
                </c:pt>
                <c:pt idx="392">
                  <c:v>35</c:v>
                </c:pt>
                <c:pt idx="393">
                  <c:v>35</c:v>
                </c:pt>
                <c:pt idx="394">
                  <c:v>1</c:v>
                </c:pt>
                <c:pt idx="395">
                  <c:v>40</c:v>
                </c:pt>
                <c:pt idx="396">
                  <c:v>22</c:v>
                </c:pt>
                <c:pt idx="397">
                  <c:v>29</c:v>
                </c:pt>
                <c:pt idx="398">
                  <c:v>8</c:v>
                </c:pt>
                <c:pt idx="399">
                  <c:v>11</c:v>
                </c:pt>
                <c:pt idx="400">
                  <c:v>41</c:v>
                </c:pt>
                <c:pt idx="401">
                  <c:v>37</c:v>
                </c:pt>
                <c:pt idx="402">
                  <c:v>14</c:v>
                </c:pt>
                <c:pt idx="403">
                  <c:v>30</c:v>
                </c:pt>
                <c:pt idx="404">
                  <c:v>35</c:v>
                </c:pt>
                <c:pt idx="405">
                  <c:v>21</c:v>
                </c:pt>
                <c:pt idx="406">
                  <c:v>37</c:v>
                </c:pt>
                <c:pt idx="407">
                  <c:v>5</c:v>
                </c:pt>
                <c:pt idx="408">
                  <c:v>19</c:v>
                </c:pt>
                <c:pt idx="409">
                  <c:v>59</c:v>
                </c:pt>
                <c:pt idx="410">
                  <c:v>14</c:v>
                </c:pt>
                <c:pt idx="411">
                  <c:v>26</c:v>
                </c:pt>
                <c:pt idx="412">
                  <c:v>4</c:v>
                </c:pt>
                <c:pt idx="413">
                  <c:v>25</c:v>
                </c:pt>
                <c:pt idx="414">
                  <c:v>45</c:v>
                </c:pt>
                <c:pt idx="415">
                  <c:v>42</c:v>
                </c:pt>
                <c:pt idx="416">
                  <c:v>25</c:v>
                </c:pt>
                <c:pt idx="417">
                  <c:v>18</c:v>
                </c:pt>
                <c:pt idx="418">
                  <c:v>40</c:v>
                </c:pt>
                <c:pt idx="419">
                  <c:v>8</c:v>
                </c:pt>
                <c:pt idx="420">
                  <c:v>39</c:v>
                </c:pt>
                <c:pt idx="421">
                  <c:v>40</c:v>
                </c:pt>
                <c:pt idx="422">
                  <c:v>14</c:v>
                </c:pt>
                <c:pt idx="423">
                  <c:v>32</c:v>
                </c:pt>
                <c:pt idx="424">
                  <c:v>51</c:v>
                </c:pt>
                <c:pt idx="425">
                  <c:v>38</c:v>
                </c:pt>
                <c:pt idx="426">
                  <c:v>33</c:v>
                </c:pt>
                <c:pt idx="427">
                  <c:v>23</c:v>
                </c:pt>
                <c:pt idx="428">
                  <c:v>15</c:v>
                </c:pt>
                <c:pt idx="429">
                  <c:v>33</c:v>
                </c:pt>
                <c:pt idx="430">
                  <c:v>25</c:v>
                </c:pt>
                <c:pt idx="431">
                  <c:v>17</c:v>
                </c:pt>
                <c:pt idx="432">
                  <c:v>33</c:v>
                </c:pt>
                <c:pt idx="433">
                  <c:v>47</c:v>
                </c:pt>
                <c:pt idx="434">
                  <c:v>55</c:v>
                </c:pt>
                <c:pt idx="435">
                  <c:v>2</c:v>
                </c:pt>
                <c:pt idx="436">
                  <c:v>14</c:v>
                </c:pt>
                <c:pt idx="437">
                  <c:v>53</c:v>
                </c:pt>
                <c:pt idx="438">
                  <c:v>40</c:v>
                </c:pt>
                <c:pt idx="439">
                  <c:v>40</c:v>
                </c:pt>
                <c:pt idx="440">
                  <c:v>51</c:v>
                </c:pt>
                <c:pt idx="441">
                  <c:v>39</c:v>
                </c:pt>
                <c:pt idx="442">
                  <c:v>51</c:v>
                </c:pt>
                <c:pt idx="443">
                  <c:v>6</c:v>
                </c:pt>
                <c:pt idx="444">
                  <c:v>6</c:v>
                </c:pt>
                <c:pt idx="445">
                  <c:v>3</c:v>
                </c:pt>
                <c:pt idx="446">
                  <c:v>7</c:v>
                </c:pt>
                <c:pt idx="447">
                  <c:v>51</c:v>
                </c:pt>
                <c:pt idx="448">
                  <c:v>8</c:v>
                </c:pt>
                <c:pt idx="449">
                  <c:v>42</c:v>
                </c:pt>
                <c:pt idx="450">
                  <c:v>52</c:v>
                </c:pt>
                <c:pt idx="451">
                  <c:v>15</c:v>
                </c:pt>
                <c:pt idx="452">
                  <c:v>47</c:v>
                </c:pt>
                <c:pt idx="453">
                  <c:v>29</c:v>
                </c:pt>
                <c:pt idx="454">
                  <c:v>33</c:v>
                </c:pt>
                <c:pt idx="455">
                  <c:v>52</c:v>
                </c:pt>
                <c:pt idx="456">
                  <c:v>30</c:v>
                </c:pt>
                <c:pt idx="457">
                  <c:v>39</c:v>
                </c:pt>
                <c:pt idx="458">
                  <c:v>27</c:v>
                </c:pt>
                <c:pt idx="459">
                  <c:v>36</c:v>
                </c:pt>
                <c:pt idx="460">
                  <c:v>29</c:v>
                </c:pt>
                <c:pt idx="461">
                  <c:v>38</c:v>
                </c:pt>
                <c:pt idx="462">
                  <c:v>57</c:v>
                </c:pt>
                <c:pt idx="463">
                  <c:v>33</c:v>
                </c:pt>
                <c:pt idx="464">
                  <c:v>37</c:v>
                </c:pt>
                <c:pt idx="465">
                  <c:v>27</c:v>
                </c:pt>
                <c:pt idx="466">
                  <c:v>55</c:v>
                </c:pt>
                <c:pt idx="467">
                  <c:v>33</c:v>
                </c:pt>
                <c:pt idx="468">
                  <c:v>4</c:v>
                </c:pt>
                <c:pt idx="469">
                  <c:v>22</c:v>
                </c:pt>
                <c:pt idx="470">
                  <c:v>2</c:v>
                </c:pt>
                <c:pt idx="471">
                  <c:v>10</c:v>
                </c:pt>
                <c:pt idx="472">
                  <c:v>5</c:v>
                </c:pt>
                <c:pt idx="473">
                  <c:v>59</c:v>
                </c:pt>
                <c:pt idx="474">
                  <c:v>10</c:v>
                </c:pt>
                <c:pt idx="475">
                  <c:v>33</c:v>
                </c:pt>
                <c:pt idx="476">
                  <c:v>54</c:v>
                </c:pt>
                <c:pt idx="477">
                  <c:v>38</c:v>
                </c:pt>
                <c:pt idx="478">
                  <c:v>13</c:v>
                </c:pt>
                <c:pt idx="479">
                  <c:v>31</c:v>
                </c:pt>
                <c:pt idx="480">
                  <c:v>47</c:v>
                </c:pt>
                <c:pt idx="481">
                  <c:v>36</c:v>
                </c:pt>
                <c:pt idx="482">
                  <c:v>45</c:v>
                </c:pt>
                <c:pt idx="483">
                  <c:v>24</c:v>
                </c:pt>
                <c:pt idx="484">
                  <c:v>52</c:v>
                </c:pt>
                <c:pt idx="485">
                  <c:v>56</c:v>
                </c:pt>
                <c:pt idx="486">
                  <c:v>15</c:v>
                </c:pt>
                <c:pt idx="487">
                  <c:v>29</c:v>
                </c:pt>
                <c:pt idx="488">
                  <c:v>8</c:v>
                </c:pt>
                <c:pt idx="489">
                  <c:v>5</c:v>
                </c:pt>
                <c:pt idx="490">
                  <c:v>29</c:v>
                </c:pt>
                <c:pt idx="491">
                  <c:v>47</c:v>
                </c:pt>
                <c:pt idx="492">
                  <c:v>4</c:v>
                </c:pt>
                <c:pt idx="493">
                  <c:v>12</c:v>
                </c:pt>
                <c:pt idx="494">
                  <c:v>45</c:v>
                </c:pt>
                <c:pt idx="495">
                  <c:v>2</c:v>
                </c:pt>
                <c:pt idx="496">
                  <c:v>27</c:v>
                </c:pt>
                <c:pt idx="497">
                  <c:v>31</c:v>
                </c:pt>
                <c:pt idx="498">
                  <c:v>51</c:v>
                </c:pt>
                <c:pt idx="49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0-410C-BD75-4FDA760EC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635168"/>
        <c:axId val="1152639488"/>
      </c:lineChart>
      <c:catAx>
        <c:axId val="1152635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2639488"/>
        <c:crosses val="autoZero"/>
        <c:auto val="1"/>
        <c:lblAlgn val="ctr"/>
        <c:lblOffset val="100"/>
        <c:noMultiLvlLbl val="0"/>
      </c:catAx>
      <c:valAx>
        <c:axId val="11526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263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[patient_churn_dataset.xlsx]ex_2!Tabela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100" b="0" i="0" u="none" strike="noStrike" baseline="0">
                <a:effectLst/>
              </a:rPr>
              <a:t>Evasão por faixa etária</a:t>
            </a:r>
            <a:endParaRPr lang="pt-BR" sz="1100" b="0" i="0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2">
                  <a:lumMod val="5000"/>
                  <a:lumOff val="95000"/>
                </a:schemeClr>
              </a:gs>
              <a:gs pos="100000">
                <a:schemeClr val="accent2">
                  <a:lumMod val="45000"/>
                  <a:lumOff val="55000"/>
                </a:schemeClr>
              </a:gs>
              <a:gs pos="55000">
                <a:schemeClr val="accent2">
                  <a:lumMod val="45000"/>
                  <a:lumOff val="55000"/>
                </a:schemeClr>
              </a:gs>
              <a:gs pos="71000">
                <a:schemeClr val="accent2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pPr>
            <a:solidFill>
              <a:schemeClr val="accent1"/>
            </a:soli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6">
                  <a:lumMod val="5000"/>
                  <a:lumOff val="95000"/>
                </a:schemeClr>
              </a:gs>
              <a:gs pos="0">
                <a:schemeClr val="accent6">
                  <a:lumMod val="45000"/>
                  <a:lumOff val="55000"/>
                </a:schemeClr>
              </a:gs>
              <a:gs pos="58000">
                <a:schemeClr val="accent6">
                  <a:lumMod val="45000"/>
                  <a:lumOff val="55000"/>
                </a:schemeClr>
              </a:gs>
              <a:gs pos="100000">
                <a:schemeClr val="accent6">
                  <a:lumMod val="30000"/>
                  <a:lumOff val="70000"/>
                </a:schemeClr>
              </a:gs>
            </a:gsLst>
            <a:lin ang="5400000" scaled="1"/>
          </a:gradFill>
          <a:ln>
            <a:solidFill>
              <a:schemeClr val="accent1">
                <a:alpha val="93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ex_2!$F$1:$F$2</c:f>
              <c:strCache>
                <c:ptCount val="1"/>
                <c:pt idx="0">
                  <c:v>1</c:v>
                </c:pt>
              </c:strCache>
            </c:strRef>
          </c:tx>
          <c:spPr>
            <a:gradFill>
              <a:gsLst>
                <a:gs pos="100000">
                  <a:schemeClr val="accent6">
                    <a:lumMod val="5000"/>
                    <a:lumOff val="95000"/>
                  </a:schemeClr>
                </a:gs>
                <a:gs pos="0">
                  <a:schemeClr val="accent6">
                    <a:lumMod val="45000"/>
                    <a:lumOff val="55000"/>
                  </a:schemeClr>
                </a:gs>
                <a:gs pos="58000">
                  <a:schemeClr val="accent6">
                    <a:lumMod val="45000"/>
                    <a:lumOff val="55000"/>
                  </a:schemeClr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accent1">
                  <a:alpha val="93000"/>
                </a:schemeClr>
              </a:solidFill>
            </a:ln>
            <a:effectLst/>
          </c:spPr>
          <c:invertIfNegative val="0"/>
          <c:cat>
            <c:strRef>
              <c:f>ex_2!$E$3:$E$7</c:f>
              <c:strCache>
                <c:ptCount val="4"/>
                <c:pt idx="0">
                  <c:v>&lt;30</c:v>
                </c:pt>
                <c:pt idx="1">
                  <c:v>30–45</c:v>
                </c:pt>
                <c:pt idx="2">
                  <c:v>46–60</c:v>
                </c:pt>
                <c:pt idx="3">
                  <c:v>60+</c:v>
                </c:pt>
              </c:strCache>
            </c:strRef>
          </c:cat>
          <c:val>
            <c:numRef>
              <c:f>ex_2!$F$3:$F$7</c:f>
              <c:numCache>
                <c:formatCode>0%</c:formatCode>
                <c:ptCount val="4"/>
                <c:pt idx="0">
                  <c:v>0.17722101260388237</c:v>
                </c:pt>
                <c:pt idx="1">
                  <c:v>0.23324848968076298</c:v>
                </c:pt>
                <c:pt idx="2">
                  <c:v>0.28749731669171086</c:v>
                </c:pt>
                <c:pt idx="3">
                  <c:v>0.30203318102364379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B-43C5-82E4-34310FF72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0372031"/>
        <c:axId val="270376351"/>
      </c:barChart>
      <c:catAx>
        <c:axId val="270372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0376351"/>
        <c:crosses val="autoZero"/>
        <c:auto val="1"/>
        <c:lblAlgn val="ctr"/>
        <c:lblOffset val="100"/>
        <c:noMultiLvlLbl val="0"/>
      </c:catAx>
      <c:valAx>
        <c:axId val="27037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037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chemeClr val="tx1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Taxa de evasão total de pacientes</a:t>
            </a:r>
            <a:endParaRPr lang="pt-BR" b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249084095633908"/>
          <c:y val="0.15258967629046369"/>
          <c:w val="0.52279474258686087"/>
          <c:h val="0.74153361038203558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E5-4D29-A1D1-03A62730F68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74000">
                    <a:schemeClr val="accent2">
                      <a:lumMod val="45000"/>
                      <a:lumOff val="55000"/>
                    </a:schemeClr>
                  </a:gs>
                  <a:gs pos="83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0E5-4D29-A1D1-03A62730F686}"/>
              </c:ext>
            </c:extLst>
          </c:dPt>
          <c:dLbls>
            <c:dLbl>
              <c:idx val="0"/>
              <c:layout>
                <c:manualLayout>
                  <c:x val="-0.11427706152115601"/>
                  <c:y val="0.1301075386410032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>
                        <a:solidFill>
                          <a:schemeClr val="tx1"/>
                        </a:solidFill>
                      </a:rPr>
                      <a:t>24,80%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0E5-4D29-A1D1-03A62730F686}"/>
                </c:ext>
              </c:extLst>
            </c:dLbl>
            <c:dLbl>
              <c:idx val="1"/>
              <c:layout>
                <c:manualLayout>
                  <c:x val="0.11793821926105391"/>
                  <c:y val="-0.1754075532225138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1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a:t>75,20%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0E5-4D29-A1D1-03A62730F6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(ex_1!$D$6,ex_1!$D$9)</c:f>
              <c:numCache>
                <c:formatCode>General</c:formatCode>
                <c:ptCount val="2"/>
                <c:pt idx="0">
                  <c:v>124</c:v>
                </c:pt>
                <c:pt idx="1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5-4D29-A1D1-03A62730F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5000"/>
        <a:alpha val="63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149086</xdr:rowOff>
    </xdr:from>
    <xdr:to>
      <xdr:col>3</xdr:col>
      <xdr:colOff>9525</xdr:colOff>
      <xdr:row>20</xdr:row>
      <xdr:rowOff>143289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079AF19-2113-E49F-6B98-D9ECD8F06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1946413</xdr:colOff>
      <xdr:row>11</xdr:row>
      <xdr:rowOff>107674</xdr:rowOff>
    </xdr:from>
    <xdr:to>
      <xdr:col>1</xdr:col>
      <xdr:colOff>2062369</xdr:colOff>
      <xdr:row>12</xdr:row>
      <xdr:rowOff>41413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27D7774D-5F21-47DF-25C7-7D6020BC6F04}"/>
            </a:ext>
          </a:extLst>
        </xdr:cNvPr>
        <xdr:cNvSpPr/>
      </xdr:nvSpPr>
      <xdr:spPr>
        <a:xfrm>
          <a:off x="3197087" y="1929848"/>
          <a:ext cx="115956" cy="9939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1941443</xdr:colOff>
      <xdr:row>12</xdr:row>
      <xdr:rowOff>144117</xdr:rowOff>
    </xdr:from>
    <xdr:to>
      <xdr:col>1</xdr:col>
      <xdr:colOff>2057399</xdr:colOff>
      <xdr:row>13</xdr:row>
      <xdr:rowOff>77856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FB95F332-069A-4957-8513-6DF9A9FAC107}"/>
            </a:ext>
          </a:extLst>
        </xdr:cNvPr>
        <xdr:cNvSpPr/>
      </xdr:nvSpPr>
      <xdr:spPr>
        <a:xfrm>
          <a:off x="3192117" y="2131943"/>
          <a:ext cx="115956" cy="9939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0.81942</cdr:x>
      <cdr:y>0.40458</cdr:y>
    </cdr:from>
    <cdr:to>
      <cdr:x>0.97716</cdr:x>
      <cdr:y>0.47977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10345631-35DC-5D27-822E-BE9A374EA897}"/>
            </a:ext>
          </a:extLst>
        </cdr:cNvPr>
        <cdr:cNvSpPr txBox="1"/>
      </cdr:nvSpPr>
      <cdr:spPr>
        <a:xfrm xmlns:a="http://schemas.openxmlformats.org/drawingml/2006/main">
          <a:off x="3313043" y="935936"/>
          <a:ext cx="637761" cy="173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700"/>
            <a:t>Evasão</a:t>
          </a:r>
        </a:p>
      </cdr:txBody>
    </cdr:sp>
  </cdr:relSizeAnchor>
  <cdr:relSizeAnchor xmlns:cdr="http://schemas.openxmlformats.org/drawingml/2006/chartDrawing">
    <cdr:from>
      <cdr:x>0.81737</cdr:x>
      <cdr:y>0.31865</cdr:y>
    </cdr:from>
    <cdr:to>
      <cdr:x>1</cdr:x>
      <cdr:y>0.39432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AB6DED1D-990F-5508-8F97-B45953BC86B6}"/>
            </a:ext>
          </a:extLst>
        </cdr:cNvPr>
        <cdr:cNvSpPr txBox="1"/>
      </cdr:nvSpPr>
      <cdr:spPr>
        <a:xfrm xmlns:a="http://schemas.openxmlformats.org/drawingml/2006/main">
          <a:off x="3304762" y="737153"/>
          <a:ext cx="738393" cy="175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700"/>
            <a:t>Não Evasão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6</xdr:row>
      <xdr:rowOff>57150</xdr:rowOff>
    </xdr:from>
    <xdr:to>
      <xdr:col>6</xdr:col>
      <xdr:colOff>733425</xdr:colOff>
      <xdr:row>23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FBB4B5-162A-74E4-48BF-12E2A01BC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9525</xdr:rowOff>
    </xdr:from>
    <xdr:to>
      <xdr:col>5</xdr:col>
      <xdr:colOff>19050</xdr:colOff>
      <xdr:row>24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C14074-99DF-FE0B-E4F8-2FC0323C3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0.22494</cdr:x>
      <cdr:y>0.89542</cdr:y>
    </cdr:from>
    <cdr:to>
      <cdr:x>0.32294</cdr:x>
      <cdr:y>0.98366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1EAC85C-94EA-BD9B-7E57-49C5697E4B31}"/>
            </a:ext>
          </a:extLst>
        </cdr:cNvPr>
        <cdr:cNvSpPr txBox="1"/>
      </cdr:nvSpPr>
      <cdr:spPr>
        <a:xfrm xmlns:a="http://schemas.openxmlformats.org/drawingml/2006/main">
          <a:off x="962025" y="2609850"/>
          <a:ext cx="4191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/>
            <a:t>No</a:t>
          </a:r>
        </a:p>
      </cdr:txBody>
    </cdr:sp>
  </cdr:relSizeAnchor>
  <cdr:relSizeAnchor xmlns:cdr="http://schemas.openxmlformats.org/drawingml/2006/chartDrawing">
    <cdr:from>
      <cdr:x>0.68448</cdr:x>
      <cdr:y>0.88017</cdr:y>
    </cdr:from>
    <cdr:to>
      <cdr:x>0.80624</cdr:x>
      <cdr:y>0.96841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0A2B867A-F2C4-7AD3-CC1B-F358A3CB5541}"/>
            </a:ext>
          </a:extLst>
        </cdr:cNvPr>
        <cdr:cNvSpPr txBox="1"/>
      </cdr:nvSpPr>
      <cdr:spPr>
        <a:xfrm xmlns:a="http://schemas.openxmlformats.org/drawingml/2006/main">
          <a:off x="2927350" y="2565400"/>
          <a:ext cx="5207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Yes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5</xdr:row>
      <xdr:rowOff>0</xdr:rowOff>
    </xdr:from>
    <xdr:to>
      <xdr:col>5</xdr:col>
      <xdr:colOff>9525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DB63D2-0D78-176B-770E-04F70BB01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0</xdr:row>
      <xdr:rowOff>38100</xdr:rowOff>
    </xdr:from>
    <xdr:to>
      <xdr:col>10</xdr:col>
      <xdr:colOff>552450</xdr:colOff>
      <xdr:row>18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CABBCB1-7D05-41F6-95C4-261B80AEC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8</xdr:row>
      <xdr:rowOff>19049</xdr:rowOff>
    </xdr:from>
    <xdr:to>
      <xdr:col>8</xdr:col>
      <xdr:colOff>0</xdr:colOff>
      <xdr:row>24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F87A7E-3EF6-CD8C-28E5-206CC01C7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16566</xdr:colOff>
      <xdr:row>2</xdr:row>
      <xdr:rowOff>139978</xdr:rowOff>
    </xdr:from>
    <xdr:to>
      <xdr:col>8</xdr:col>
      <xdr:colOff>1</xdr:colOff>
      <xdr:row>18</xdr:row>
      <xdr:rowOff>91110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56960D0-F402-5AFC-B4F8-483C43336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0.80416</cdr:x>
      <cdr:y>0.20833</cdr:y>
    </cdr:from>
    <cdr:to>
      <cdr:x>0.98286</cdr:x>
      <cdr:y>0.30208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9AD46136-D6C2-13D4-F801-5FD1D4776089}"/>
            </a:ext>
          </a:extLst>
        </cdr:cNvPr>
        <cdr:cNvSpPr txBox="1"/>
      </cdr:nvSpPr>
      <cdr:spPr>
        <a:xfrm xmlns:a="http://schemas.openxmlformats.org/drawingml/2006/main">
          <a:off x="3128962" y="571499"/>
          <a:ext cx="6953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000"/>
            <a:t>Evasão</a:t>
          </a:r>
          <a:endParaRPr lang="pt-BR" sz="1100"/>
        </a:p>
      </cdr:txBody>
    </cdr:sp>
  </cdr:relSizeAnchor>
  <cdr:relSizeAnchor xmlns:cdr="http://schemas.openxmlformats.org/drawingml/2006/chartDrawing">
    <cdr:from>
      <cdr:x>0.79192</cdr:x>
      <cdr:y>0.83681</cdr:y>
    </cdr:from>
    <cdr:to>
      <cdr:x>1</cdr:x>
      <cdr:y>0.91319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B4AE88E0-FCF0-A00E-C8F0-8E00D91CF7F4}"/>
            </a:ext>
          </a:extLst>
        </cdr:cNvPr>
        <cdr:cNvSpPr txBox="1"/>
      </cdr:nvSpPr>
      <cdr:spPr>
        <a:xfrm xmlns:a="http://schemas.openxmlformats.org/drawingml/2006/main">
          <a:off x="3081338" y="2295525"/>
          <a:ext cx="8096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000"/>
            <a:t>Ñ</a:t>
          </a:r>
          <a:r>
            <a:rPr lang="pt-BR" sz="1000" baseline="0"/>
            <a:t> Evasão</a:t>
          </a:r>
          <a:endParaRPr lang="pt-BR" sz="1000"/>
        </a:p>
      </cdr:txBody>
    </cdr:sp>
  </cdr:relSizeAnchor>
  <cdr:relSizeAnchor xmlns:cdr="http://schemas.openxmlformats.org/drawingml/2006/chartDrawing">
    <cdr:from>
      <cdr:x>0.68832</cdr:x>
      <cdr:y>0.25694</cdr:y>
    </cdr:from>
    <cdr:to>
      <cdr:x>0.8213</cdr:x>
      <cdr:y>0.32197</cdr:y>
    </cdr:to>
    <cdr:cxnSp macro="">
      <cdr:nvCxnSpPr>
        <cdr:cNvPr id="5" name="Conector: Angulado 4">
          <a:extLst xmlns:a="http://schemas.openxmlformats.org/drawingml/2006/main">
            <a:ext uri="{FF2B5EF4-FFF2-40B4-BE49-F238E27FC236}">
              <a16:creationId xmlns:a16="http://schemas.microsoft.com/office/drawing/2014/main" id="{7B3CE608-12D6-A2D0-74CB-35CE0F3A669C}"/>
            </a:ext>
          </a:extLst>
        </cdr:cNvPr>
        <cdr:cNvCxnSpPr/>
      </cdr:nvCxnSpPr>
      <cdr:spPr>
        <a:xfrm xmlns:a="http://schemas.openxmlformats.org/drawingml/2006/main" flipV="1">
          <a:off x="2683358" y="721130"/>
          <a:ext cx="518402" cy="182502"/>
        </a:xfrm>
        <a:prstGeom xmlns:a="http://schemas.openxmlformats.org/drawingml/2006/main" prst="bentConnector3">
          <a:avLst>
            <a:gd name="adj1" fmla="val 50000"/>
          </a:avLst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0.63733</cdr:x>
      <cdr:y>0.78825</cdr:y>
    </cdr:from>
    <cdr:to>
      <cdr:x>0.80305</cdr:x>
      <cdr:y>0.87974</cdr:y>
    </cdr:to>
    <cdr:cxnSp macro="">
      <cdr:nvCxnSpPr>
        <cdr:cNvPr id="12" name="Conector: Angulado 11">
          <a:extLst xmlns:a="http://schemas.openxmlformats.org/drawingml/2006/main">
            <a:ext uri="{FF2B5EF4-FFF2-40B4-BE49-F238E27FC236}">
              <a16:creationId xmlns:a16="http://schemas.microsoft.com/office/drawing/2014/main" id="{32FE0537-A064-7343-F4DC-BA119B9C16AB}"/>
            </a:ext>
          </a:extLst>
        </cdr:cNvPr>
        <cdr:cNvCxnSpPr/>
      </cdr:nvCxnSpPr>
      <cdr:spPr>
        <a:xfrm xmlns:a="http://schemas.openxmlformats.org/drawingml/2006/main">
          <a:off x="2484576" y="2212284"/>
          <a:ext cx="646043" cy="256761"/>
        </a:xfrm>
        <a:prstGeom xmlns:a="http://schemas.openxmlformats.org/drawingml/2006/main" prst="bentConnector3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ydson Gonçalo" refreshedDate="46048.859773379627" createdVersion="8" refreshedVersion="8" minRefreshableVersion="3" recordCount="500" xr:uid="{B68D42CA-BC16-4C3F-8F7E-9E3E6DE6004C}">
  <cacheSource type="worksheet">
    <worksheetSource ref="A1:C501" sheet="ex_2"/>
  </cacheSource>
  <cacheFields count="3">
    <cacheField name="ID" numFmtId="0">
      <sharedItems containsSemiMixedTypes="0" containsString="0" containsNumber="1" containsInteger="1" minValue="1" maxValue="500"/>
    </cacheField>
    <cacheField name="Evasão" numFmtId="1">
      <sharedItems containsSemiMixedTypes="0" containsString="0" containsNumber="1" containsInteger="1" minValue="0" maxValue="1" count="2">
        <n v="1"/>
        <n v="0"/>
      </sharedItems>
    </cacheField>
    <cacheField name="Faixa_Etária" numFmtId="0">
      <sharedItems count="4">
        <s v="46–60"/>
        <s v="60+"/>
        <s v="30–45"/>
        <s v="&lt;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ydson Gonçalo" refreshedDate="46048.943794791667" createdVersion="8" refreshedVersion="8" minRefreshableVersion="3" recordCount="500" xr:uid="{A5C76945-1279-4476-A5FA-AA58FED5E0BB}">
  <cacheSource type="worksheet">
    <worksheetSource ref="A1:B501" sheet="ex_3"/>
  </cacheSource>
  <cacheFields count="2">
    <cacheField name="Evasão" numFmtId="1">
      <sharedItems containsSemiMixedTypes="0" containsString="0" containsNumber="1" containsInteger="1" minValue="0" maxValue="1" count="2">
        <n v="1"/>
        <n v="0"/>
      </sharedItems>
    </cacheField>
    <cacheField name="Permanência_Meses" numFmtId="1">
      <sharedItems containsSemiMixedTypes="0" containsString="0" containsNumber="1" containsInteger="1" minValue="1" maxValue="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ydson Gonçalo" refreshedDate="46049.849194212962" createdVersion="8" refreshedVersion="8" minRefreshableVersion="3" recordCount="501" xr:uid="{8ACB160A-83CF-4EF1-8791-AE02A22AE09A}">
  <cacheSource type="worksheet">
    <worksheetSource ref="A1:K1048576" sheet="patient_churn_dataset"/>
  </cacheSource>
  <cacheFields count="11">
    <cacheField name="ID" numFmtId="0">
      <sharedItems containsString="0" containsBlank="1" containsNumber="1" containsInteger="1" minValue="1" maxValue="500"/>
    </cacheField>
    <cacheField name="Idade" numFmtId="1">
      <sharedItems containsString="0" containsBlank="1" containsNumber="1" containsInteger="1" minValue="18" maxValue="79"/>
    </cacheField>
    <cacheField name="Gênero" numFmtId="49">
      <sharedItems containsBlank="1"/>
    </cacheField>
    <cacheField name="Permanência_Meses" numFmtId="1">
      <sharedItems containsString="0" containsBlank="1" containsNumber="1" containsInteger="1" minValue="1" maxValue="59"/>
    </cacheField>
    <cacheField name="Visitas_ano_passado" numFmtId="1">
      <sharedItems containsString="0" containsBlank="1" containsNumber="1" containsInteger="1" minValue="0" maxValue="19"/>
    </cacheField>
    <cacheField name="Doença_Crônica" numFmtId="49">
      <sharedItems containsBlank="1" count="3">
        <s v="No"/>
        <s v="Yes"/>
        <m/>
      </sharedItems>
    </cacheField>
    <cacheField name="Tipo_Seguro" numFmtId="49">
      <sharedItems containsBlank="1"/>
    </cacheField>
    <cacheField name="Pontuação_Satisfação" numFmtId="164">
      <sharedItems containsString="0" containsBlank="1" containsNumber="1" minValue="1" maxValue="5"/>
    </cacheField>
    <cacheField name="Valor_Total_Conta" numFmtId="165">
      <sharedItems containsString="0" containsBlank="1" containsNumber="1" minValue="506.67" maxValue="49892.13"/>
    </cacheField>
    <cacheField name="Compromissos_Perdidos" numFmtId="1">
      <sharedItems containsString="0" containsBlank="1" containsNumber="1" containsInteger="1" minValue="0" maxValue="9"/>
    </cacheField>
    <cacheField name="Evasão" numFmtId="1">
      <sharedItems containsString="0" containsBlank="1" containsNumber="1" containsInteger="1" minValue="0" maxValue="1" count="3">
        <n v="1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ydson Gonçalo" refreshedDate="46049.882465972223" createdVersion="8" refreshedVersion="8" minRefreshableVersion="3" recordCount="501" xr:uid="{0788AA3D-7056-45B7-9FDD-6A00E317050B}">
  <cacheSource type="worksheet">
    <worksheetSource ref="A1:B1048576" sheet="ex_6"/>
  </cacheSource>
  <cacheFields count="2">
    <cacheField name="Evasão" numFmtId="1">
      <sharedItems containsString="0" containsBlank="1" containsNumber="1" containsInteger="1" minValue="0" maxValue="1" count="3">
        <n v="1"/>
        <n v="0"/>
        <m/>
      </sharedItems>
    </cacheField>
    <cacheField name="Tipo_Seguro" numFmtId="49">
      <sharedItems containsBlank="1" count="4">
        <s v="Government"/>
        <s v="None"/>
        <s v="Privat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ydson Gonçalo" refreshedDate="46050.468257060187" createdVersion="8" refreshedVersion="8" minRefreshableVersion="3" recordCount="500" xr:uid="{8852B135-E67B-43F7-BCCF-6FAFC2EC0E9C}">
  <cacheSource type="worksheet">
    <worksheetSource ref="A1:K501" sheet="patient_churn_dataset"/>
  </cacheSource>
  <cacheFields count="11">
    <cacheField name="ID" numFmtId="0">
      <sharedItems containsSemiMixedTypes="0" containsString="0" containsNumber="1" containsInteger="1" minValue="1" maxValue="500"/>
    </cacheField>
    <cacheField name="Idade" numFmtId="1">
      <sharedItems containsSemiMixedTypes="0" containsString="0" containsNumber="1" containsInteger="1" minValue="18" maxValue="79"/>
    </cacheField>
    <cacheField name="Gênero" numFmtId="49">
      <sharedItems/>
    </cacheField>
    <cacheField name="Permanência_Meses" numFmtId="1">
      <sharedItems containsSemiMixedTypes="0" containsString="0" containsNumber="1" containsInteger="1" minValue="1" maxValue="59"/>
    </cacheField>
    <cacheField name="Visitas_ano_passado" numFmtId="1">
      <sharedItems containsSemiMixedTypes="0" containsString="0" containsNumber="1" containsInteger="1" minValue="0" maxValue="19"/>
    </cacheField>
    <cacheField name="Doença_Crônica" numFmtId="49">
      <sharedItems/>
    </cacheField>
    <cacheField name="Tipo_Seguro" numFmtId="49">
      <sharedItems/>
    </cacheField>
    <cacheField name="Pontuação_Satisfação" numFmtId="164">
      <sharedItems containsSemiMixedTypes="0" containsString="0" containsNumber="1" minValue="1" maxValue="5"/>
    </cacheField>
    <cacheField name="Valor_Total_Conta" numFmtId="165">
      <sharedItems containsSemiMixedTypes="0" containsString="0" containsNumber="1" minValue="506.67" maxValue="49892.13"/>
    </cacheField>
    <cacheField name="Compromissos_Perdidos" numFmtId="1">
      <sharedItems containsSemiMixedTypes="0" containsString="0" containsNumber="1" containsInteger="1" minValue="0" maxValue="9"/>
    </cacheField>
    <cacheField name="Evasão" numFmtId="1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</r>
  <r>
    <n v="2"/>
    <x v="1"/>
    <x v="1"/>
  </r>
  <r>
    <n v="3"/>
    <x v="1"/>
    <x v="0"/>
  </r>
  <r>
    <n v="4"/>
    <x v="1"/>
    <x v="2"/>
  </r>
  <r>
    <n v="5"/>
    <x v="1"/>
    <x v="0"/>
  </r>
  <r>
    <n v="6"/>
    <x v="1"/>
    <x v="3"/>
  </r>
  <r>
    <n v="7"/>
    <x v="1"/>
    <x v="1"/>
  </r>
  <r>
    <n v="8"/>
    <x v="1"/>
    <x v="2"/>
  </r>
  <r>
    <n v="9"/>
    <x v="0"/>
    <x v="0"/>
  </r>
  <r>
    <n v="10"/>
    <x v="1"/>
    <x v="1"/>
  </r>
  <r>
    <n v="11"/>
    <x v="0"/>
    <x v="2"/>
  </r>
  <r>
    <n v="12"/>
    <x v="1"/>
    <x v="2"/>
  </r>
  <r>
    <n v="13"/>
    <x v="1"/>
    <x v="3"/>
  </r>
  <r>
    <n v="14"/>
    <x v="1"/>
    <x v="3"/>
  </r>
  <r>
    <n v="15"/>
    <x v="1"/>
    <x v="2"/>
  </r>
  <r>
    <n v="16"/>
    <x v="1"/>
    <x v="1"/>
  </r>
  <r>
    <n v="17"/>
    <x v="1"/>
    <x v="0"/>
  </r>
  <r>
    <n v="18"/>
    <x v="1"/>
    <x v="0"/>
  </r>
  <r>
    <n v="19"/>
    <x v="1"/>
    <x v="2"/>
  </r>
  <r>
    <n v="20"/>
    <x v="0"/>
    <x v="3"/>
  </r>
  <r>
    <n v="21"/>
    <x v="0"/>
    <x v="2"/>
  </r>
  <r>
    <n v="22"/>
    <x v="1"/>
    <x v="1"/>
  </r>
  <r>
    <n v="23"/>
    <x v="1"/>
    <x v="3"/>
  </r>
  <r>
    <n v="24"/>
    <x v="1"/>
    <x v="2"/>
  </r>
  <r>
    <n v="25"/>
    <x v="1"/>
    <x v="1"/>
  </r>
  <r>
    <n v="26"/>
    <x v="1"/>
    <x v="0"/>
  </r>
  <r>
    <n v="27"/>
    <x v="1"/>
    <x v="0"/>
  </r>
  <r>
    <n v="28"/>
    <x v="1"/>
    <x v="3"/>
  </r>
  <r>
    <n v="29"/>
    <x v="1"/>
    <x v="1"/>
  </r>
  <r>
    <n v="30"/>
    <x v="1"/>
    <x v="2"/>
  </r>
  <r>
    <n v="31"/>
    <x v="0"/>
    <x v="0"/>
  </r>
  <r>
    <n v="32"/>
    <x v="0"/>
    <x v="3"/>
  </r>
  <r>
    <n v="33"/>
    <x v="1"/>
    <x v="1"/>
  </r>
  <r>
    <n v="34"/>
    <x v="0"/>
    <x v="2"/>
  </r>
  <r>
    <n v="35"/>
    <x v="0"/>
    <x v="1"/>
  </r>
  <r>
    <n v="36"/>
    <x v="1"/>
    <x v="1"/>
  </r>
  <r>
    <n v="37"/>
    <x v="1"/>
    <x v="2"/>
  </r>
  <r>
    <n v="38"/>
    <x v="1"/>
    <x v="1"/>
  </r>
  <r>
    <n v="39"/>
    <x v="0"/>
    <x v="2"/>
  </r>
  <r>
    <n v="40"/>
    <x v="0"/>
    <x v="1"/>
  </r>
  <r>
    <n v="41"/>
    <x v="1"/>
    <x v="0"/>
  </r>
  <r>
    <n v="42"/>
    <x v="1"/>
    <x v="2"/>
  </r>
  <r>
    <n v="43"/>
    <x v="1"/>
    <x v="1"/>
  </r>
  <r>
    <n v="44"/>
    <x v="1"/>
    <x v="2"/>
  </r>
  <r>
    <n v="45"/>
    <x v="1"/>
    <x v="2"/>
  </r>
  <r>
    <n v="46"/>
    <x v="0"/>
    <x v="1"/>
  </r>
  <r>
    <n v="47"/>
    <x v="1"/>
    <x v="1"/>
  </r>
  <r>
    <n v="48"/>
    <x v="0"/>
    <x v="1"/>
  </r>
  <r>
    <n v="49"/>
    <x v="0"/>
    <x v="1"/>
  </r>
  <r>
    <n v="50"/>
    <x v="1"/>
    <x v="1"/>
  </r>
  <r>
    <n v="51"/>
    <x v="1"/>
    <x v="1"/>
  </r>
  <r>
    <n v="52"/>
    <x v="1"/>
    <x v="1"/>
  </r>
  <r>
    <n v="53"/>
    <x v="1"/>
    <x v="1"/>
  </r>
  <r>
    <n v="54"/>
    <x v="1"/>
    <x v="1"/>
  </r>
  <r>
    <n v="55"/>
    <x v="1"/>
    <x v="3"/>
  </r>
  <r>
    <n v="56"/>
    <x v="1"/>
    <x v="0"/>
  </r>
  <r>
    <n v="57"/>
    <x v="1"/>
    <x v="1"/>
  </r>
  <r>
    <n v="58"/>
    <x v="1"/>
    <x v="3"/>
  </r>
  <r>
    <n v="59"/>
    <x v="1"/>
    <x v="2"/>
  </r>
  <r>
    <n v="60"/>
    <x v="1"/>
    <x v="3"/>
  </r>
  <r>
    <n v="61"/>
    <x v="1"/>
    <x v="0"/>
  </r>
  <r>
    <n v="62"/>
    <x v="1"/>
    <x v="2"/>
  </r>
  <r>
    <n v="63"/>
    <x v="1"/>
    <x v="3"/>
  </r>
  <r>
    <n v="64"/>
    <x v="1"/>
    <x v="2"/>
  </r>
  <r>
    <n v="65"/>
    <x v="1"/>
    <x v="1"/>
  </r>
  <r>
    <n v="66"/>
    <x v="1"/>
    <x v="2"/>
  </r>
  <r>
    <n v="67"/>
    <x v="1"/>
    <x v="1"/>
  </r>
  <r>
    <n v="68"/>
    <x v="0"/>
    <x v="1"/>
  </r>
  <r>
    <n v="69"/>
    <x v="1"/>
    <x v="3"/>
  </r>
  <r>
    <n v="70"/>
    <x v="1"/>
    <x v="2"/>
  </r>
  <r>
    <n v="71"/>
    <x v="1"/>
    <x v="1"/>
  </r>
  <r>
    <n v="72"/>
    <x v="1"/>
    <x v="3"/>
  </r>
  <r>
    <n v="73"/>
    <x v="1"/>
    <x v="2"/>
  </r>
  <r>
    <n v="74"/>
    <x v="1"/>
    <x v="2"/>
  </r>
  <r>
    <n v="75"/>
    <x v="1"/>
    <x v="1"/>
  </r>
  <r>
    <n v="76"/>
    <x v="1"/>
    <x v="1"/>
  </r>
  <r>
    <n v="77"/>
    <x v="1"/>
    <x v="3"/>
  </r>
  <r>
    <n v="78"/>
    <x v="1"/>
    <x v="1"/>
  </r>
  <r>
    <n v="79"/>
    <x v="1"/>
    <x v="1"/>
  </r>
  <r>
    <n v="80"/>
    <x v="0"/>
    <x v="3"/>
  </r>
  <r>
    <n v="81"/>
    <x v="1"/>
    <x v="1"/>
  </r>
  <r>
    <n v="82"/>
    <x v="1"/>
    <x v="0"/>
  </r>
  <r>
    <n v="83"/>
    <x v="1"/>
    <x v="2"/>
  </r>
  <r>
    <n v="84"/>
    <x v="1"/>
    <x v="2"/>
  </r>
  <r>
    <n v="85"/>
    <x v="1"/>
    <x v="0"/>
  </r>
  <r>
    <n v="86"/>
    <x v="1"/>
    <x v="1"/>
  </r>
  <r>
    <n v="87"/>
    <x v="1"/>
    <x v="0"/>
  </r>
  <r>
    <n v="88"/>
    <x v="1"/>
    <x v="3"/>
  </r>
  <r>
    <n v="89"/>
    <x v="1"/>
    <x v="3"/>
  </r>
  <r>
    <n v="90"/>
    <x v="1"/>
    <x v="1"/>
  </r>
  <r>
    <n v="91"/>
    <x v="0"/>
    <x v="3"/>
  </r>
  <r>
    <n v="92"/>
    <x v="1"/>
    <x v="1"/>
  </r>
  <r>
    <n v="93"/>
    <x v="1"/>
    <x v="0"/>
  </r>
  <r>
    <n v="94"/>
    <x v="1"/>
    <x v="3"/>
  </r>
  <r>
    <n v="95"/>
    <x v="1"/>
    <x v="1"/>
  </r>
  <r>
    <n v="96"/>
    <x v="1"/>
    <x v="0"/>
  </r>
  <r>
    <n v="97"/>
    <x v="1"/>
    <x v="2"/>
  </r>
  <r>
    <n v="98"/>
    <x v="1"/>
    <x v="2"/>
  </r>
  <r>
    <n v="99"/>
    <x v="1"/>
    <x v="1"/>
  </r>
  <r>
    <n v="100"/>
    <x v="1"/>
    <x v="0"/>
  </r>
  <r>
    <n v="101"/>
    <x v="1"/>
    <x v="3"/>
  </r>
  <r>
    <n v="102"/>
    <x v="0"/>
    <x v="1"/>
  </r>
  <r>
    <n v="103"/>
    <x v="1"/>
    <x v="0"/>
  </r>
  <r>
    <n v="104"/>
    <x v="1"/>
    <x v="2"/>
  </r>
  <r>
    <n v="105"/>
    <x v="1"/>
    <x v="0"/>
  </r>
  <r>
    <n v="106"/>
    <x v="1"/>
    <x v="1"/>
  </r>
  <r>
    <n v="107"/>
    <x v="0"/>
    <x v="2"/>
  </r>
  <r>
    <n v="108"/>
    <x v="1"/>
    <x v="3"/>
  </r>
  <r>
    <n v="109"/>
    <x v="1"/>
    <x v="2"/>
  </r>
  <r>
    <n v="110"/>
    <x v="1"/>
    <x v="2"/>
  </r>
  <r>
    <n v="111"/>
    <x v="1"/>
    <x v="1"/>
  </r>
  <r>
    <n v="112"/>
    <x v="1"/>
    <x v="1"/>
  </r>
  <r>
    <n v="113"/>
    <x v="1"/>
    <x v="1"/>
  </r>
  <r>
    <n v="114"/>
    <x v="1"/>
    <x v="0"/>
  </r>
  <r>
    <n v="115"/>
    <x v="1"/>
    <x v="2"/>
  </r>
  <r>
    <n v="116"/>
    <x v="1"/>
    <x v="2"/>
  </r>
  <r>
    <n v="117"/>
    <x v="0"/>
    <x v="1"/>
  </r>
  <r>
    <n v="118"/>
    <x v="0"/>
    <x v="2"/>
  </r>
  <r>
    <n v="119"/>
    <x v="0"/>
    <x v="1"/>
  </r>
  <r>
    <n v="120"/>
    <x v="1"/>
    <x v="1"/>
  </r>
  <r>
    <n v="121"/>
    <x v="1"/>
    <x v="2"/>
  </r>
  <r>
    <n v="122"/>
    <x v="0"/>
    <x v="2"/>
  </r>
  <r>
    <n v="123"/>
    <x v="1"/>
    <x v="2"/>
  </r>
  <r>
    <n v="124"/>
    <x v="1"/>
    <x v="1"/>
  </r>
  <r>
    <n v="125"/>
    <x v="0"/>
    <x v="1"/>
  </r>
  <r>
    <n v="126"/>
    <x v="0"/>
    <x v="1"/>
  </r>
  <r>
    <n v="127"/>
    <x v="1"/>
    <x v="1"/>
  </r>
  <r>
    <n v="128"/>
    <x v="1"/>
    <x v="0"/>
  </r>
  <r>
    <n v="129"/>
    <x v="1"/>
    <x v="0"/>
  </r>
  <r>
    <n v="130"/>
    <x v="0"/>
    <x v="2"/>
  </r>
  <r>
    <n v="131"/>
    <x v="0"/>
    <x v="1"/>
  </r>
  <r>
    <n v="132"/>
    <x v="1"/>
    <x v="3"/>
  </r>
  <r>
    <n v="133"/>
    <x v="1"/>
    <x v="2"/>
  </r>
  <r>
    <n v="134"/>
    <x v="0"/>
    <x v="3"/>
  </r>
  <r>
    <n v="135"/>
    <x v="1"/>
    <x v="3"/>
  </r>
  <r>
    <n v="136"/>
    <x v="1"/>
    <x v="2"/>
  </r>
  <r>
    <n v="137"/>
    <x v="0"/>
    <x v="3"/>
  </r>
  <r>
    <n v="138"/>
    <x v="1"/>
    <x v="1"/>
  </r>
  <r>
    <n v="139"/>
    <x v="1"/>
    <x v="3"/>
  </r>
  <r>
    <n v="140"/>
    <x v="1"/>
    <x v="2"/>
  </r>
  <r>
    <n v="141"/>
    <x v="1"/>
    <x v="3"/>
  </r>
  <r>
    <n v="142"/>
    <x v="0"/>
    <x v="1"/>
  </r>
  <r>
    <n v="143"/>
    <x v="1"/>
    <x v="2"/>
  </r>
  <r>
    <n v="144"/>
    <x v="0"/>
    <x v="3"/>
  </r>
  <r>
    <n v="145"/>
    <x v="1"/>
    <x v="0"/>
  </r>
  <r>
    <n v="146"/>
    <x v="1"/>
    <x v="0"/>
  </r>
  <r>
    <n v="147"/>
    <x v="1"/>
    <x v="0"/>
  </r>
  <r>
    <n v="148"/>
    <x v="1"/>
    <x v="1"/>
  </r>
  <r>
    <n v="149"/>
    <x v="1"/>
    <x v="3"/>
  </r>
  <r>
    <n v="150"/>
    <x v="1"/>
    <x v="0"/>
  </r>
  <r>
    <n v="151"/>
    <x v="1"/>
    <x v="0"/>
  </r>
  <r>
    <n v="152"/>
    <x v="1"/>
    <x v="1"/>
  </r>
  <r>
    <n v="153"/>
    <x v="1"/>
    <x v="0"/>
  </r>
  <r>
    <n v="154"/>
    <x v="1"/>
    <x v="2"/>
  </r>
  <r>
    <n v="155"/>
    <x v="1"/>
    <x v="3"/>
  </r>
  <r>
    <n v="156"/>
    <x v="1"/>
    <x v="3"/>
  </r>
  <r>
    <n v="157"/>
    <x v="1"/>
    <x v="3"/>
  </r>
  <r>
    <n v="158"/>
    <x v="1"/>
    <x v="3"/>
  </r>
  <r>
    <n v="159"/>
    <x v="1"/>
    <x v="0"/>
  </r>
  <r>
    <n v="160"/>
    <x v="1"/>
    <x v="0"/>
  </r>
  <r>
    <n v="161"/>
    <x v="0"/>
    <x v="1"/>
  </r>
  <r>
    <n v="162"/>
    <x v="0"/>
    <x v="1"/>
  </r>
  <r>
    <n v="163"/>
    <x v="1"/>
    <x v="2"/>
  </r>
  <r>
    <n v="164"/>
    <x v="1"/>
    <x v="1"/>
  </r>
  <r>
    <n v="165"/>
    <x v="0"/>
    <x v="2"/>
  </r>
  <r>
    <n v="166"/>
    <x v="1"/>
    <x v="0"/>
  </r>
  <r>
    <n v="167"/>
    <x v="0"/>
    <x v="0"/>
  </r>
  <r>
    <n v="168"/>
    <x v="0"/>
    <x v="1"/>
  </r>
  <r>
    <n v="169"/>
    <x v="0"/>
    <x v="0"/>
  </r>
  <r>
    <n v="170"/>
    <x v="1"/>
    <x v="2"/>
  </r>
  <r>
    <n v="171"/>
    <x v="1"/>
    <x v="2"/>
  </r>
  <r>
    <n v="172"/>
    <x v="1"/>
    <x v="0"/>
  </r>
  <r>
    <n v="173"/>
    <x v="1"/>
    <x v="3"/>
  </r>
  <r>
    <n v="174"/>
    <x v="1"/>
    <x v="0"/>
  </r>
  <r>
    <n v="175"/>
    <x v="1"/>
    <x v="0"/>
  </r>
  <r>
    <n v="176"/>
    <x v="1"/>
    <x v="1"/>
  </r>
  <r>
    <n v="177"/>
    <x v="0"/>
    <x v="2"/>
  </r>
  <r>
    <n v="178"/>
    <x v="1"/>
    <x v="3"/>
  </r>
  <r>
    <n v="179"/>
    <x v="0"/>
    <x v="3"/>
  </r>
  <r>
    <n v="180"/>
    <x v="0"/>
    <x v="3"/>
  </r>
  <r>
    <n v="181"/>
    <x v="1"/>
    <x v="2"/>
  </r>
  <r>
    <n v="182"/>
    <x v="1"/>
    <x v="1"/>
  </r>
  <r>
    <n v="183"/>
    <x v="0"/>
    <x v="2"/>
  </r>
  <r>
    <n v="184"/>
    <x v="1"/>
    <x v="0"/>
  </r>
  <r>
    <n v="185"/>
    <x v="1"/>
    <x v="2"/>
  </r>
  <r>
    <n v="186"/>
    <x v="1"/>
    <x v="3"/>
  </r>
  <r>
    <n v="187"/>
    <x v="1"/>
    <x v="2"/>
  </r>
  <r>
    <n v="188"/>
    <x v="1"/>
    <x v="2"/>
  </r>
  <r>
    <n v="189"/>
    <x v="1"/>
    <x v="2"/>
  </r>
  <r>
    <n v="190"/>
    <x v="1"/>
    <x v="0"/>
  </r>
  <r>
    <n v="191"/>
    <x v="1"/>
    <x v="1"/>
  </r>
  <r>
    <n v="192"/>
    <x v="1"/>
    <x v="2"/>
  </r>
  <r>
    <n v="193"/>
    <x v="1"/>
    <x v="1"/>
  </r>
  <r>
    <n v="194"/>
    <x v="1"/>
    <x v="0"/>
  </r>
  <r>
    <n v="195"/>
    <x v="0"/>
    <x v="0"/>
  </r>
  <r>
    <n v="196"/>
    <x v="1"/>
    <x v="1"/>
  </r>
  <r>
    <n v="197"/>
    <x v="1"/>
    <x v="1"/>
  </r>
  <r>
    <n v="198"/>
    <x v="1"/>
    <x v="1"/>
  </r>
  <r>
    <n v="199"/>
    <x v="1"/>
    <x v="0"/>
  </r>
  <r>
    <n v="200"/>
    <x v="1"/>
    <x v="3"/>
  </r>
  <r>
    <n v="201"/>
    <x v="0"/>
    <x v="0"/>
  </r>
  <r>
    <n v="202"/>
    <x v="1"/>
    <x v="0"/>
  </r>
  <r>
    <n v="203"/>
    <x v="0"/>
    <x v="2"/>
  </r>
  <r>
    <n v="204"/>
    <x v="1"/>
    <x v="0"/>
  </r>
  <r>
    <n v="205"/>
    <x v="1"/>
    <x v="1"/>
  </r>
  <r>
    <n v="206"/>
    <x v="1"/>
    <x v="2"/>
  </r>
  <r>
    <n v="207"/>
    <x v="0"/>
    <x v="0"/>
  </r>
  <r>
    <n v="208"/>
    <x v="1"/>
    <x v="0"/>
  </r>
  <r>
    <n v="209"/>
    <x v="1"/>
    <x v="0"/>
  </r>
  <r>
    <n v="210"/>
    <x v="1"/>
    <x v="2"/>
  </r>
  <r>
    <n v="211"/>
    <x v="1"/>
    <x v="0"/>
  </r>
  <r>
    <n v="212"/>
    <x v="1"/>
    <x v="3"/>
  </r>
  <r>
    <n v="213"/>
    <x v="1"/>
    <x v="1"/>
  </r>
  <r>
    <n v="214"/>
    <x v="1"/>
    <x v="1"/>
  </r>
  <r>
    <n v="215"/>
    <x v="1"/>
    <x v="2"/>
  </r>
  <r>
    <n v="216"/>
    <x v="1"/>
    <x v="2"/>
  </r>
  <r>
    <n v="217"/>
    <x v="0"/>
    <x v="3"/>
  </r>
  <r>
    <n v="218"/>
    <x v="0"/>
    <x v="0"/>
  </r>
  <r>
    <n v="219"/>
    <x v="0"/>
    <x v="1"/>
  </r>
  <r>
    <n v="220"/>
    <x v="1"/>
    <x v="1"/>
  </r>
  <r>
    <n v="221"/>
    <x v="1"/>
    <x v="1"/>
  </r>
  <r>
    <n v="222"/>
    <x v="1"/>
    <x v="1"/>
  </r>
  <r>
    <n v="223"/>
    <x v="1"/>
    <x v="3"/>
  </r>
  <r>
    <n v="224"/>
    <x v="1"/>
    <x v="2"/>
  </r>
  <r>
    <n v="225"/>
    <x v="1"/>
    <x v="2"/>
  </r>
  <r>
    <n v="226"/>
    <x v="1"/>
    <x v="1"/>
  </r>
  <r>
    <n v="227"/>
    <x v="1"/>
    <x v="1"/>
  </r>
  <r>
    <n v="228"/>
    <x v="0"/>
    <x v="2"/>
  </r>
  <r>
    <n v="229"/>
    <x v="1"/>
    <x v="0"/>
  </r>
  <r>
    <n v="230"/>
    <x v="1"/>
    <x v="1"/>
  </r>
  <r>
    <n v="231"/>
    <x v="1"/>
    <x v="3"/>
  </r>
  <r>
    <n v="232"/>
    <x v="1"/>
    <x v="1"/>
  </r>
  <r>
    <n v="233"/>
    <x v="1"/>
    <x v="1"/>
  </r>
  <r>
    <n v="234"/>
    <x v="0"/>
    <x v="2"/>
  </r>
  <r>
    <n v="235"/>
    <x v="0"/>
    <x v="2"/>
  </r>
  <r>
    <n v="236"/>
    <x v="1"/>
    <x v="0"/>
  </r>
  <r>
    <n v="237"/>
    <x v="0"/>
    <x v="1"/>
  </r>
  <r>
    <n v="238"/>
    <x v="0"/>
    <x v="0"/>
  </r>
  <r>
    <n v="239"/>
    <x v="0"/>
    <x v="3"/>
  </r>
  <r>
    <n v="240"/>
    <x v="0"/>
    <x v="1"/>
  </r>
  <r>
    <n v="241"/>
    <x v="1"/>
    <x v="2"/>
  </r>
  <r>
    <n v="242"/>
    <x v="1"/>
    <x v="1"/>
  </r>
  <r>
    <n v="243"/>
    <x v="1"/>
    <x v="1"/>
  </r>
  <r>
    <n v="244"/>
    <x v="1"/>
    <x v="1"/>
  </r>
  <r>
    <n v="245"/>
    <x v="0"/>
    <x v="2"/>
  </r>
  <r>
    <n v="246"/>
    <x v="1"/>
    <x v="0"/>
  </r>
  <r>
    <n v="247"/>
    <x v="1"/>
    <x v="3"/>
  </r>
  <r>
    <n v="248"/>
    <x v="0"/>
    <x v="0"/>
  </r>
  <r>
    <n v="249"/>
    <x v="0"/>
    <x v="3"/>
  </r>
  <r>
    <n v="250"/>
    <x v="0"/>
    <x v="3"/>
  </r>
  <r>
    <n v="251"/>
    <x v="1"/>
    <x v="2"/>
  </r>
  <r>
    <n v="252"/>
    <x v="1"/>
    <x v="3"/>
  </r>
  <r>
    <n v="253"/>
    <x v="1"/>
    <x v="1"/>
  </r>
  <r>
    <n v="254"/>
    <x v="1"/>
    <x v="0"/>
  </r>
  <r>
    <n v="255"/>
    <x v="1"/>
    <x v="0"/>
  </r>
  <r>
    <n v="256"/>
    <x v="1"/>
    <x v="1"/>
  </r>
  <r>
    <n v="257"/>
    <x v="0"/>
    <x v="0"/>
  </r>
  <r>
    <n v="258"/>
    <x v="1"/>
    <x v="1"/>
  </r>
  <r>
    <n v="259"/>
    <x v="1"/>
    <x v="2"/>
  </r>
  <r>
    <n v="260"/>
    <x v="1"/>
    <x v="2"/>
  </r>
  <r>
    <n v="261"/>
    <x v="1"/>
    <x v="1"/>
  </r>
  <r>
    <n v="262"/>
    <x v="1"/>
    <x v="1"/>
  </r>
  <r>
    <n v="263"/>
    <x v="0"/>
    <x v="0"/>
  </r>
  <r>
    <n v="264"/>
    <x v="1"/>
    <x v="0"/>
  </r>
  <r>
    <n v="265"/>
    <x v="0"/>
    <x v="2"/>
  </r>
  <r>
    <n v="266"/>
    <x v="1"/>
    <x v="0"/>
  </r>
  <r>
    <n v="267"/>
    <x v="0"/>
    <x v="1"/>
  </r>
  <r>
    <n v="268"/>
    <x v="1"/>
    <x v="1"/>
  </r>
  <r>
    <n v="269"/>
    <x v="1"/>
    <x v="1"/>
  </r>
  <r>
    <n v="270"/>
    <x v="1"/>
    <x v="1"/>
  </r>
  <r>
    <n v="271"/>
    <x v="0"/>
    <x v="1"/>
  </r>
  <r>
    <n v="272"/>
    <x v="1"/>
    <x v="1"/>
  </r>
  <r>
    <n v="273"/>
    <x v="1"/>
    <x v="3"/>
  </r>
  <r>
    <n v="274"/>
    <x v="0"/>
    <x v="1"/>
  </r>
  <r>
    <n v="275"/>
    <x v="0"/>
    <x v="0"/>
  </r>
  <r>
    <n v="276"/>
    <x v="1"/>
    <x v="3"/>
  </r>
  <r>
    <n v="277"/>
    <x v="1"/>
    <x v="3"/>
  </r>
  <r>
    <n v="278"/>
    <x v="1"/>
    <x v="1"/>
  </r>
  <r>
    <n v="279"/>
    <x v="1"/>
    <x v="0"/>
  </r>
  <r>
    <n v="280"/>
    <x v="1"/>
    <x v="1"/>
  </r>
  <r>
    <n v="281"/>
    <x v="0"/>
    <x v="1"/>
  </r>
  <r>
    <n v="282"/>
    <x v="0"/>
    <x v="2"/>
  </r>
  <r>
    <n v="283"/>
    <x v="1"/>
    <x v="1"/>
  </r>
  <r>
    <n v="284"/>
    <x v="1"/>
    <x v="1"/>
  </r>
  <r>
    <n v="285"/>
    <x v="1"/>
    <x v="3"/>
  </r>
  <r>
    <n v="286"/>
    <x v="0"/>
    <x v="3"/>
  </r>
  <r>
    <n v="287"/>
    <x v="0"/>
    <x v="2"/>
  </r>
  <r>
    <n v="288"/>
    <x v="1"/>
    <x v="1"/>
  </r>
  <r>
    <n v="289"/>
    <x v="0"/>
    <x v="2"/>
  </r>
  <r>
    <n v="290"/>
    <x v="1"/>
    <x v="0"/>
  </r>
  <r>
    <n v="291"/>
    <x v="1"/>
    <x v="0"/>
  </r>
  <r>
    <n v="292"/>
    <x v="1"/>
    <x v="0"/>
  </r>
  <r>
    <n v="293"/>
    <x v="1"/>
    <x v="3"/>
  </r>
  <r>
    <n v="294"/>
    <x v="1"/>
    <x v="2"/>
  </r>
  <r>
    <n v="295"/>
    <x v="1"/>
    <x v="1"/>
  </r>
  <r>
    <n v="296"/>
    <x v="1"/>
    <x v="3"/>
  </r>
  <r>
    <n v="297"/>
    <x v="0"/>
    <x v="1"/>
  </r>
  <r>
    <n v="298"/>
    <x v="1"/>
    <x v="1"/>
  </r>
  <r>
    <n v="299"/>
    <x v="1"/>
    <x v="2"/>
  </r>
  <r>
    <n v="300"/>
    <x v="1"/>
    <x v="0"/>
  </r>
  <r>
    <n v="301"/>
    <x v="1"/>
    <x v="3"/>
  </r>
  <r>
    <n v="302"/>
    <x v="1"/>
    <x v="0"/>
  </r>
  <r>
    <n v="303"/>
    <x v="1"/>
    <x v="1"/>
  </r>
  <r>
    <n v="304"/>
    <x v="1"/>
    <x v="3"/>
  </r>
  <r>
    <n v="305"/>
    <x v="1"/>
    <x v="1"/>
  </r>
  <r>
    <n v="306"/>
    <x v="1"/>
    <x v="3"/>
  </r>
  <r>
    <n v="307"/>
    <x v="1"/>
    <x v="1"/>
  </r>
  <r>
    <n v="308"/>
    <x v="1"/>
    <x v="1"/>
  </r>
  <r>
    <n v="309"/>
    <x v="1"/>
    <x v="2"/>
  </r>
  <r>
    <n v="310"/>
    <x v="1"/>
    <x v="0"/>
  </r>
  <r>
    <n v="311"/>
    <x v="0"/>
    <x v="2"/>
  </r>
  <r>
    <n v="312"/>
    <x v="1"/>
    <x v="3"/>
  </r>
  <r>
    <n v="313"/>
    <x v="1"/>
    <x v="1"/>
  </r>
  <r>
    <n v="314"/>
    <x v="0"/>
    <x v="0"/>
  </r>
  <r>
    <n v="315"/>
    <x v="1"/>
    <x v="3"/>
  </r>
  <r>
    <n v="316"/>
    <x v="1"/>
    <x v="2"/>
  </r>
  <r>
    <n v="317"/>
    <x v="0"/>
    <x v="3"/>
  </r>
  <r>
    <n v="318"/>
    <x v="0"/>
    <x v="1"/>
  </r>
  <r>
    <n v="319"/>
    <x v="0"/>
    <x v="2"/>
  </r>
  <r>
    <n v="320"/>
    <x v="1"/>
    <x v="0"/>
  </r>
  <r>
    <n v="321"/>
    <x v="1"/>
    <x v="3"/>
  </r>
  <r>
    <n v="322"/>
    <x v="1"/>
    <x v="1"/>
  </r>
  <r>
    <n v="323"/>
    <x v="1"/>
    <x v="1"/>
  </r>
  <r>
    <n v="324"/>
    <x v="1"/>
    <x v="3"/>
  </r>
  <r>
    <n v="325"/>
    <x v="1"/>
    <x v="2"/>
  </r>
  <r>
    <n v="326"/>
    <x v="0"/>
    <x v="0"/>
  </r>
  <r>
    <n v="327"/>
    <x v="1"/>
    <x v="3"/>
  </r>
  <r>
    <n v="328"/>
    <x v="1"/>
    <x v="2"/>
  </r>
  <r>
    <n v="329"/>
    <x v="1"/>
    <x v="1"/>
  </r>
  <r>
    <n v="330"/>
    <x v="1"/>
    <x v="1"/>
  </r>
  <r>
    <n v="331"/>
    <x v="1"/>
    <x v="0"/>
  </r>
  <r>
    <n v="332"/>
    <x v="1"/>
    <x v="2"/>
  </r>
  <r>
    <n v="333"/>
    <x v="1"/>
    <x v="2"/>
  </r>
  <r>
    <n v="334"/>
    <x v="1"/>
    <x v="3"/>
  </r>
  <r>
    <n v="335"/>
    <x v="0"/>
    <x v="2"/>
  </r>
  <r>
    <n v="336"/>
    <x v="0"/>
    <x v="2"/>
  </r>
  <r>
    <n v="337"/>
    <x v="1"/>
    <x v="0"/>
  </r>
  <r>
    <n v="338"/>
    <x v="1"/>
    <x v="3"/>
  </r>
  <r>
    <n v="339"/>
    <x v="0"/>
    <x v="1"/>
  </r>
  <r>
    <n v="340"/>
    <x v="0"/>
    <x v="0"/>
  </r>
  <r>
    <n v="341"/>
    <x v="1"/>
    <x v="0"/>
  </r>
  <r>
    <n v="342"/>
    <x v="1"/>
    <x v="0"/>
  </r>
  <r>
    <n v="343"/>
    <x v="1"/>
    <x v="0"/>
  </r>
  <r>
    <n v="344"/>
    <x v="0"/>
    <x v="2"/>
  </r>
  <r>
    <n v="345"/>
    <x v="0"/>
    <x v="0"/>
  </r>
  <r>
    <n v="346"/>
    <x v="1"/>
    <x v="3"/>
  </r>
  <r>
    <n v="347"/>
    <x v="0"/>
    <x v="3"/>
  </r>
  <r>
    <n v="348"/>
    <x v="1"/>
    <x v="2"/>
  </r>
  <r>
    <n v="349"/>
    <x v="0"/>
    <x v="1"/>
  </r>
  <r>
    <n v="350"/>
    <x v="1"/>
    <x v="2"/>
  </r>
  <r>
    <n v="351"/>
    <x v="0"/>
    <x v="1"/>
  </r>
  <r>
    <n v="352"/>
    <x v="1"/>
    <x v="2"/>
  </r>
  <r>
    <n v="353"/>
    <x v="1"/>
    <x v="0"/>
  </r>
  <r>
    <n v="354"/>
    <x v="1"/>
    <x v="0"/>
  </r>
  <r>
    <n v="355"/>
    <x v="0"/>
    <x v="0"/>
  </r>
  <r>
    <n v="356"/>
    <x v="0"/>
    <x v="0"/>
  </r>
  <r>
    <n v="357"/>
    <x v="0"/>
    <x v="3"/>
  </r>
  <r>
    <n v="358"/>
    <x v="0"/>
    <x v="1"/>
  </r>
  <r>
    <n v="359"/>
    <x v="1"/>
    <x v="2"/>
  </r>
  <r>
    <n v="360"/>
    <x v="1"/>
    <x v="2"/>
  </r>
  <r>
    <n v="361"/>
    <x v="1"/>
    <x v="1"/>
  </r>
  <r>
    <n v="362"/>
    <x v="1"/>
    <x v="1"/>
  </r>
  <r>
    <n v="363"/>
    <x v="1"/>
    <x v="1"/>
  </r>
  <r>
    <n v="364"/>
    <x v="1"/>
    <x v="1"/>
  </r>
  <r>
    <n v="365"/>
    <x v="1"/>
    <x v="1"/>
  </r>
  <r>
    <n v="366"/>
    <x v="1"/>
    <x v="3"/>
  </r>
  <r>
    <n v="367"/>
    <x v="1"/>
    <x v="3"/>
  </r>
  <r>
    <n v="368"/>
    <x v="1"/>
    <x v="1"/>
  </r>
  <r>
    <n v="369"/>
    <x v="0"/>
    <x v="1"/>
  </r>
  <r>
    <n v="370"/>
    <x v="0"/>
    <x v="3"/>
  </r>
  <r>
    <n v="371"/>
    <x v="0"/>
    <x v="3"/>
  </r>
  <r>
    <n v="372"/>
    <x v="1"/>
    <x v="0"/>
  </r>
  <r>
    <n v="373"/>
    <x v="1"/>
    <x v="0"/>
  </r>
  <r>
    <n v="374"/>
    <x v="0"/>
    <x v="1"/>
  </r>
  <r>
    <n v="375"/>
    <x v="1"/>
    <x v="1"/>
  </r>
  <r>
    <n v="376"/>
    <x v="1"/>
    <x v="3"/>
  </r>
  <r>
    <n v="377"/>
    <x v="1"/>
    <x v="0"/>
  </r>
  <r>
    <n v="378"/>
    <x v="1"/>
    <x v="0"/>
  </r>
  <r>
    <n v="379"/>
    <x v="1"/>
    <x v="2"/>
  </r>
  <r>
    <n v="380"/>
    <x v="1"/>
    <x v="1"/>
  </r>
  <r>
    <n v="381"/>
    <x v="1"/>
    <x v="2"/>
  </r>
  <r>
    <n v="382"/>
    <x v="1"/>
    <x v="3"/>
  </r>
  <r>
    <n v="383"/>
    <x v="1"/>
    <x v="2"/>
  </r>
  <r>
    <n v="384"/>
    <x v="0"/>
    <x v="2"/>
  </r>
  <r>
    <n v="385"/>
    <x v="1"/>
    <x v="1"/>
  </r>
  <r>
    <n v="386"/>
    <x v="1"/>
    <x v="1"/>
  </r>
  <r>
    <n v="387"/>
    <x v="0"/>
    <x v="0"/>
  </r>
  <r>
    <n v="388"/>
    <x v="1"/>
    <x v="2"/>
  </r>
  <r>
    <n v="389"/>
    <x v="1"/>
    <x v="1"/>
  </r>
  <r>
    <n v="390"/>
    <x v="1"/>
    <x v="3"/>
  </r>
  <r>
    <n v="391"/>
    <x v="1"/>
    <x v="1"/>
  </r>
  <r>
    <n v="392"/>
    <x v="1"/>
    <x v="3"/>
  </r>
  <r>
    <n v="393"/>
    <x v="0"/>
    <x v="0"/>
  </r>
  <r>
    <n v="394"/>
    <x v="1"/>
    <x v="0"/>
  </r>
  <r>
    <n v="395"/>
    <x v="1"/>
    <x v="0"/>
  </r>
  <r>
    <n v="396"/>
    <x v="1"/>
    <x v="2"/>
  </r>
  <r>
    <n v="397"/>
    <x v="1"/>
    <x v="1"/>
  </r>
  <r>
    <n v="398"/>
    <x v="1"/>
    <x v="0"/>
  </r>
  <r>
    <n v="399"/>
    <x v="1"/>
    <x v="1"/>
  </r>
  <r>
    <n v="400"/>
    <x v="1"/>
    <x v="1"/>
  </r>
  <r>
    <n v="401"/>
    <x v="1"/>
    <x v="2"/>
  </r>
  <r>
    <n v="402"/>
    <x v="1"/>
    <x v="0"/>
  </r>
  <r>
    <n v="403"/>
    <x v="1"/>
    <x v="2"/>
  </r>
  <r>
    <n v="404"/>
    <x v="0"/>
    <x v="0"/>
  </r>
  <r>
    <n v="405"/>
    <x v="1"/>
    <x v="2"/>
  </r>
  <r>
    <n v="406"/>
    <x v="1"/>
    <x v="1"/>
  </r>
  <r>
    <n v="407"/>
    <x v="1"/>
    <x v="2"/>
  </r>
  <r>
    <n v="408"/>
    <x v="1"/>
    <x v="3"/>
  </r>
  <r>
    <n v="409"/>
    <x v="1"/>
    <x v="1"/>
  </r>
  <r>
    <n v="410"/>
    <x v="1"/>
    <x v="0"/>
  </r>
  <r>
    <n v="411"/>
    <x v="0"/>
    <x v="2"/>
  </r>
  <r>
    <n v="412"/>
    <x v="0"/>
    <x v="1"/>
  </r>
  <r>
    <n v="413"/>
    <x v="1"/>
    <x v="0"/>
  </r>
  <r>
    <n v="414"/>
    <x v="1"/>
    <x v="0"/>
  </r>
  <r>
    <n v="415"/>
    <x v="0"/>
    <x v="0"/>
  </r>
  <r>
    <n v="416"/>
    <x v="0"/>
    <x v="3"/>
  </r>
  <r>
    <n v="417"/>
    <x v="0"/>
    <x v="0"/>
  </r>
  <r>
    <n v="418"/>
    <x v="1"/>
    <x v="2"/>
  </r>
  <r>
    <n v="419"/>
    <x v="1"/>
    <x v="2"/>
  </r>
  <r>
    <n v="420"/>
    <x v="1"/>
    <x v="1"/>
  </r>
  <r>
    <n v="421"/>
    <x v="1"/>
    <x v="2"/>
  </r>
  <r>
    <n v="422"/>
    <x v="1"/>
    <x v="1"/>
  </r>
  <r>
    <n v="423"/>
    <x v="1"/>
    <x v="3"/>
  </r>
  <r>
    <n v="424"/>
    <x v="0"/>
    <x v="3"/>
  </r>
  <r>
    <n v="425"/>
    <x v="1"/>
    <x v="3"/>
  </r>
  <r>
    <n v="426"/>
    <x v="0"/>
    <x v="2"/>
  </r>
  <r>
    <n v="427"/>
    <x v="1"/>
    <x v="0"/>
  </r>
  <r>
    <n v="428"/>
    <x v="1"/>
    <x v="1"/>
  </r>
  <r>
    <n v="429"/>
    <x v="1"/>
    <x v="3"/>
  </r>
  <r>
    <n v="430"/>
    <x v="0"/>
    <x v="1"/>
  </r>
  <r>
    <n v="431"/>
    <x v="1"/>
    <x v="1"/>
  </r>
  <r>
    <n v="432"/>
    <x v="1"/>
    <x v="2"/>
  </r>
  <r>
    <n v="433"/>
    <x v="0"/>
    <x v="1"/>
  </r>
  <r>
    <n v="434"/>
    <x v="1"/>
    <x v="2"/>
  </r>
  <r>
    <n v="435"/>
    <x v="1"/>
    <x v="1"/>
  </r>
  <r>
    <n v="436"/>
    <x v="1"/>
    <x v="0"/>
  </r>
  <r>
    <n v="437"/>
    <x v="1"/>
    <x v="0"/>
  </r>
  <r>
    <n v="438"/>
    <x v="1"/>
    <x v="0"/>
  </r>
  <r>
    <n v="439"/>
    <x v="1"/>
    <x v="1"/>
  </r>
  <r>
    <n v="440"/>
    <x v="1"/>
    <x v="1"/>
  </r>
  <r>
    <n v="441"/>
    <x v="1"/>
    <x v="1"/>
  </r>
  <r>
    <n v="442"/>
    <x v="1"/>
    <x v="3"/>
  </r>
  <r>
    <n v="443"/>
    <x v="1"/>
    <x v="2"/>
  </r>
  <r>
    <n v="444"/>
    <x v="1"/>
    <x v="2"/>
  </r>
  <r>
    <n v="445"/>
    <x v="1"/>
    <x v="0"/>
  </r>
  <r>
    <n v="446"/>
    <x v="1"/>
    <x v="2"/>
  </r>
  <r>
    <n v="447"/>
    <x v="1"/>
    <x v="0"/>
  </r>
  <r>
    <n v="448"/>
    <x v="1"/>
    <x v="0"/>
  </r>
  <r>
    <n v="449"/>
    <x v="0"/>
    <x v="2"/>
  </r>
  <r>
    <n v="450"/>
    <x v="1"/>
    <x v="1"/>
  </r>
  <r>
    <n v="451"/>
    <x v="0"/>
    <x v="0"/>
  </r>
  <r>
    <n v="452"/>
    <x v="0"/>
    <x v="3"/>
  </r>
  <r>
    <n v="453"/>
    <x v="1"/>
    <x v="1"/>
  </r>
  <r>
    <n v="454"/>
    <x v="1"/>
    <x v="1"/>
  </r>
  <r>
    <n v="455"/>
    <x v="1"/>
    <x v="1"/>
  </r>
  <r>
    <n v="456"/>
    <x v="0"/>
    <x v="2"/>
  </r>
  <r>
    <n v="457"/>
    <x v="1"/>
    <x v="3"/>
  </r>
  <r>
    <n v="458"/>
    <x v="1"/>
    <x v="0"/>
  </r>
  <r>
    <n v="459"/>
    <x v="1"/>
    <x v="1"/>
  </r>
  <r>
    <n v="460"/>
    <x v="0"/>
    <x v="2"/>
  </r>
  <r>
    <n v="461"/>
    <x v="0"/>
    <x v="1"/>
  </r>
  <r>
    <n v="462"/>
    <x v="1"/>
    <x v="2"/>
  </r>
  <r>
    <n v="463"/>
    <x v="1"/>
    <x v="0"/>
  </r>
  <r>
    <n v="464"/>
    <x v="1"/>
    <x v="0"/>
  </r>
  <r>
    <n v="465"/>
    <x v="1"/>
    <x v="1"/>
  </r>
  <r>
    <n v="466"/>
    <x v="0"/>
    <x v="1"/>
  </r>
  <r>
    <n v="467"/>
    <x v="1"/>
    <x v="3"/>
  </r>
  <r>
    <n v="468"/>
    <x v="1"/>
    <x v="0"/>
  </r>
  <r>
    <n v="469"/>
    <x v="1"/>
    <x v="1"/>
  </r>
  <r>
    <n v="470"/>
    <x v="0"/>
    <x v="0"/>
  </r>
  <r>
    <n v="471"/>
    <x v="0"/>
    <x v="0"/>
  </r>
  <r>
    <n v="472"/>
    <x v="1"/>
    <x v="2"/>
  </r>
  <r>
    <n v="473"/>
    <x v="0"/>
    <x v="0"/>
  </r>
  <r>
    <n v="474"/>
    <x v="1"/>
    <x v="1"/>
  </r>
  <r>
    <n v="475"/>
    <x v="1"/>
    <x v="1"/>
  </r>
  <r>
    <n v="476"/>
    <x v="1"/>
    <x v="1"/>
  </r>
  <r>
    <n v="477"/>
    <x v="1"/>
    <x v="0"/>
  </r>
  <r>
    <n v="478"/>
    <x v="1"/>
    <x v="0"/>
  </r>
  <r>
    <n v="479"/>
    <x v="0"/>
    <x v="1"/>
  </r>
  <r>
    <n v="480"/>
    <x v="1"/>
    <x v="0"/>
  </r>
  <r>
    <n v="481"/>
    <x v="1"/>
    <x v="1"/>
  </r>
  <r>
    <n v="482"/>
    <x v="1"/>
    <x v="1"/>
  </r>
  <r>
    <n v="483"/>
    <x v="1"/>
    <x v="2"/>
  </r>
  <r>
    <n v="484"/>
    <x v="0"/>
    <x v="0"/>
  </r>
  <r>
    <n v="485"/>
    <x v="1"/>
    <x v="2"/>
  </r>
  <r>
    <n v="486"/>
    <x v="1"/>
    <x v="0"/>
  </r>
  <r>
    <n v="487"/>
    <x v="0"/>
    <x v="3"/>
  </r>
  <r>
    <n v="488"/>
    <x v="1"/>
    <x v="2"/>
  </r>
  <r>
    <n v="489"/>
    <x v="1"/>
    <x v="2"/>
  </r>
  <r>
    <n v="490"/>
    <x v="1"/>
    <x v="0"/>
  </r>
  <r>
    <n v="491"/>
    <x v="1"/>
    <x v="0"/>
  </r>
  <r>
    <n v="492"/>
    <x v="0"/>
    <x v="1"/>
  </r>
  <r>
    <n v="493"/>
    <x v="0"/>
    <x v="1"/>
  </r>
  <r>
    <n v="494"/>
    <x v="1"/>
    <x v="3"/>
  </r>
  <r>
    <n v="495"/>
    <x v="0"/>
    <x v="0"/>
  </r>
  <r>
    <n v="496"/>
    <x v="1"/>
    <x v="1"/>
  </r>
  <r>
    <n v="497"/>
    <x v="1"/>
    <x v="2"/>
  </r>
  <r>
    <n v="498"/>
    <x v="1"/>
    <x v="1"/>
  </r>
  <r>
    <n v="499"/>
    <x v="1"/>
    <x v="0"/>
  </r>
  <r>
    <n v="50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2"/>
  </r>
  <r>
    <x v="1"/>
    <n v="10"/>
  </r>
  <r>
    <x v="1"/>
    <n v="56"/>
  </r>
  <r>
    <x v="1"/>
    <n v="30"/>
  </r>
  <r>
    <x v="1"/>
    <n v="50"/>
  </r>
  <r>
    <x v="1"/>
    <n v="59"/>
  </r>
  <r>
    <x v="1"/>
    <n v="45"/>
  </r>
  <r>
    <x v="1"/>
    <n v="5"/>
  </r>
  <r>
    <x v="0"/>
    <n v="55"/>
  </r>
  <r>
    <x v="1"/>
    <n v="56"/>
  </r>
  <r>
    <x v="0"/>
    <n v="33"/>
  </r>
  <r>
    <x v="1"/>
    <n v="54"/>
  </r>
  <r>
    <x v="1"/>
    <n v="1"/>
  </r>
  <r>
    <x v="1"/>
    <n v="18"/>
  </r>
  <r>
    <x v="1"/>
    <n v="32"/>
  </r>
  <r>
    <x v="1"/>
    <n v="47"/>
  </r>
  <r>
    <x v="1"/>
    <n v="49"/>
  </r>
  <r>
    <x v="1"/>
    <n v="11"/>
  </r>
  <r>
    <x v="1"/>
    <n v="21"/>
  </r>
  <r>
    <x v="0"/>
    <n v="26"/>
  </r>
  <r>
    <x v="0"/>
    <n v="25"/>
  </r>
  <r>
    <x v="1"/>
    <n v="22"/>
  </r>
  <r>
    <x v="1"/>
    <n v="59"/>
  </r>
  <r>
    <x v="1"/>
    <n v="27"/>
  </r>
  <r>
    <x v="1"/>
    <n v="49"/>
  </r>
  <r>
    <x v="1"/>
    <n v="13"/>
  </r>
  <r>
    <x v="1"/>
    <n v="33"/>
  </r>
  <r>
    <x v="1"/>
    <n v="34"/>
  </r>
  <r>
    <x v="1"/>
    <n v="41"/>
  </r>
  <r>
    <x v="1"/>
    <n v="35"/>
  </r>
  <r>
    <x v="0"/>
    <n v="1"/>
  </r>
  <r>
    <x v="0"/>
    <n v="21"/>
  </r>
  <r>
    <x v="1"/>
    <n v="48"/>
  </r>
  <r>
    <x v="0"/>
    <n v="55"/>
  </r>
  <r>
    <x v="0"/>
    <n v="6"/>
  </r>
  <r>
    <x v="1"/>
    <n v="28"/>
  </r>
  <r>
    <x v="1"/>
    <n v="17"/>
  </r>
  <r>
    <x v="1"/>
    <n v="5"/>
  </r>
  <r>
    <x v="0"/>
    <n v="31"/>
  </r>
  <r>
    <x v="0"/>
    <n v="5"/>
  </r>
  <r>
    <x v="1"/>
    <n v="38"/>
  </r>
  <r>
    <x v="1"/>
    <n v="3"/>
  </r>
  <r>
    <x v="1"/>
    <n v="53"/>
  </r>
  <r>
    <x v="1"/>
    <n v="23"/>
  </r>
  <r>
    <x v="1"/>
    <n v="37"/>
  </r>
  <r>
    <x v="0"/>
    <n v="53"/>
  </r>
  <r>
    <x v="1"/>
    <n v="37"/>
  </r>
  <r>
    <x v="0"/>
    <n v="10"/>
  </r>
  <r>
    <x v="0"/>
    <n v="10"/>
  </r>
  <r>
    <x v="1"/>
    <n v="19"/>
  </r>
  <r>
    <x v="1"/>
    <n v="17"/>
  </r>
  <r>
    <x v="1"/>
    <n v="21"/>
  </r>
  <r>
    <x v="1"/>
    <n v="14"/>
  </r>
  <r>
    <x v="1"/>
    <n v="9"/>
  </r>
  <r>
    <x v="1"/>
    <n v="46"/>
  </r>
  <r>
    <x v="1"/>
    <n v="1"/>
  </r>
  <r>
    <x v="1"/>
    <n v="51"/>
  </r>
  <r>
    <x v="1"/>
    <n v="45"/>
  </r>
  <r>
    <x v="1"/>
    <n v="13"/>
  </r>
  <r>
    <x v="1"/>
    <n v="4"/>
  </r>
  <r>
    <x v="1"/>
    <n v="1"/>
  </r>
  <r>
    <x v="1"/>
    <n v="49"/>
  </r>
  <r>
    <x v="1"/>
    <n v="40"/>
  </r>
  <r>
    <x v="1"/>
    <n v="32"/>
  </r>
  <r>
    <x v="1"/>
    <n v="34"/>
  </r>
  <r>
    <x v="1"/>
    <n v="28"/>
  </r>
  <r>
    <x v="1"/>
    <n v="31"/>
  </r>
  <r>
    <x v="0"/>
    <n v="8"/>
  </r>
  <r>
    <x v="1"/>
    <n v="39"/>
  </r>
  <r>
    <x v="1"/>
    <n v="26"/>
  </r>
  <r>
    <x v="1"/>
    <n v="58"/>
  </r>
  <r>
    <x v="1"/>
    <n v="34"/>
  </r>
  <r>
    <x v="1"/>
    <n v="54"/>
  </r>
  <r>
    <x v="1"/>
    <n v="54"/>
  </r>
  <r>
    <x v="1"/>
    <n v="3"/>
  </r>
  <r>
    <x v="1"/>
    <n v="59"/>
  </r>
  <r>
    <x v="1"/>
    <n v="50"/>
  </r>
  <r>
    <x v="1"/>
    <n v="12"/>
  </r>
  <r>
    <x v="1"/>
    <n v="1"/>
  </r>
  <r>
    <x v="0"/>
    <n v="54"/>
  </r>
  <r>
    <x v="1"/>
    <n v="44"/>
  </r>
  <r>
    <x v="1"/>
    <n v="5"/>
  </r>
  <r>
    <x v="1"/>
    <n v="30"/>
  </r>
  <r>
    <x v="1"/>
    <n v="30"/>
  </r>
  <r>
    <x v="1"/>
    <n v="59"/>
  </r>
  <r>
    <x v="1"/>
    <n v="57"/>
  </r>
  <r>
    <x v="1"/>
    <n v="17"/>
  </r>
  <r>
    <x v="1"/>
    <n v="48"/>
  </r>
  <r>
    <x v="1"/>
    <n v="47"/>
  </r>
  <r>
    <x v="1"/>
    <n v="23"/>
  </r>
  <r>
    <x v="0"/>
    <n v="15"/>
  </r>
  <r>
    <x v="1"/>
    <n v="37"/>
  </r>
  <r>
    <x v="1"/>
    <n v="21"/>
  </r>
  <r>
    <x v="1"/>
    <n v="14"/>
  </r>
  <r>
    <x v="1"/>
    <n v="2"/>
  </r>
  <r>
    <x v="1"/>
    <n v="11"/>
  </r>
  <r>
    <x v="1"/>
    <n v="51"/>
  </r>
  <r>
    <x v="1"/>
    <n v="39"/>
  </r>
  <r>
    <x v="1"/>
    <n v="38"/>
  </r>
  <r>
    <x v="1"/>
    <n v="34"/>
  </r>
  <r>
    <x v="1"/>
    <n v="38"/>
  </r>
  <r>
    <x v="0"/>
    <n v="50"/>
  </r>
  <r>
    <x v="1"/>
    <n v="34"/>
  </r>
  <r>
    <x v="1"/>
    <n v="18"/>
  </r>
  <r>
    <x v="1"/>
    <n v="30"/>
  </r>
  <r>
    <x v="1"/>
    <n v="15"/>
  </r>
  <r>
    <x v="0"/>
    <n v="27"/>
  </r>
  <r>
    <x v="1"/>
    <n v="51"/>
  </r>
  <r>
    <x v="1"/>
    <n v="34"/>
  </r>
  <r>
    <x v="1"/>
    <n v="52"/>
  </r>
  <r>
    <x v="1"/>
    <n v="57"/>
  </r>
  <r>
    <x v="1"/>
    <n v="38"/>
  </r>
  <r>
    <x v="1"/>
    <n v="33"/>
  </r>
  <r>
    <x v="1"/>
    <n v="24"/>
  </r>
  <r>
    <x v="1"/>
    <n v="15"/>
  </r>
  <r>
    <x v="1"/>
    <n v="30"/>
  </r>
  <r>
    <x v="0"/>
    <n v="55"/>
  </r>
  <r>
    <x v="0"/>
    <n v="42"/>
  </r>
  <r>
    <x v="0"/>
    <n v="51"/>
  </r>
  <r>
    <x v="1"/>
    <n v="17"/>
  </r>
  <r>
    <x v="1"/>
    <n v="5"/>
  </r>
  <r>
    <x v="0"/>
    <n v="29"/>
  </r>
  <r>
    <x v="1"/>
    <n v="4"/>
  </r>
  <r>
    <x v="1"/>
    <n v="10"/>
  </r>
  <r>
    <x v="0"/>
    <n v="56"/>
  </r>
  <r>
    <x v="0"/>
    <n v="17"/>
  </r>
  <r>
    <x v="1"/>
    <n v="10"/>
  </r>
  <r>
    <x v="1"/>
    <n v="17"/>
  </r>
  <r>
    <x v="1"/>
    <n v="20"/>
  </r>
  <r>
    <x v="0"/>
    <n v="24"/>
  </r>
  <r>
    <x v="0"/>
    <n v="5"/>
  </r>
  <r>
    <x v="1"/>
    <n v="34"/>
  </r>
  <r>
    <x v="1"/>
    <n v="6"/>
  </r>
  <r>
    <x v="0"/>
    <n v="53"/>
  </r>
  <r>
    <x v="1"/>
    <n v="2"/>
  </r>
  <r>
    <x v="1"/>
    <n v="13"/>
  </r>
  <r>
    <x v="0"/>
    <n v="43"/>
  </r>
  <r>
    <x v="1"/>
    <n v="43"/>
  </r>
  <r>
    <x v="1"/>
    <n v="48"/>
  </r>
  <r>
    <x v="1"/>
    <n v="11"/>
  </r>
  <r>
    <x v="1"/>
    <n v="51"/>
  </r>
  <r>
    <x v="0"/>
    <n v="47"/>
  </r>
  <r>
    <x v="1"/>
    <n v="57"/>
  </r>
  <r>
    <x v="0"/>
    <n v="23"/>
  </r>
  <r>
    <x v="1"/>
    <n v="55"/>
  </r>
  <r>
    <x v="1"/>
    <n v="16"/>
  </r>
  <r>
    <x v="1"/>
    <n v="31"/>
  </r>
  <r>
    <x v="1"/>
    <n v="11"/>
  </r>
  <r>
    <x v="1"/>
    <n v="54"/>
  </r>
  <r>
    <x v="1"/>
    <n v="16"/>
  </r>
  <r>
    <x v="1"/>
    <n v="8"/>
  </r>
  <r>
    <x v="1"/>
    <n v="4"/>
  </r>
  <r>
    <x v="1"/>
    <n v="40"/>
  </r>
  <r>
    <x v="1"/>
    <n v="4"/>
  </r>
  <r>
    <x v="1"/>
    <n v="56"/>
  </r>
  <r>
    <x v="1"/>
    <n v="25"/>
  </r>
  <r>
    <x v="1"/>
    <n v="3"/>
  </r>
  <r>
    <x v="1"/>
    <n v="32"/>
  </r>
  <r>
    <x v="1"/>
    <n v="3"/>
  </r>
  <r>
    <x v="1"/>
    <n v="27"/>
  </r>
  <r>
    <x v="0"/>
    <n v="29"/>
  </r>
  <r>
    <x v="0"/>
    <n v="32"/>
  </r>
  <r>
    <x v="1"/>
    <n v="50"/>
  </r>
  <r>
    <x v="1"/>
    <n v="58"/>
  </r>
  <r>
    <x v="0"/>
    <n v="51"/>
  </r>
  <r>
    <x v="1"/>
    <n v="19"/>
  </r>
  <r>
    <x v="0"/>
    <n v="21"/>
  </r>
  <r>
    <x v="0"/>
    <n v="5"/>
  </r>
  <r>
    <x v="0"/>
    <n v="18"/>
  </r>
  <r>
    <x v="1"/>
    <n v="28"/>
  </r>
  <r>
    <x v="1"/>
    <n v="42"/>
  </r>
  <r>
    <x v="1"/>
    <n v="22"/>
  </r>
  <r>
    <x v="1"/>
    <n v="21"/>
  </r>
  <r>
    <x v="1"/>
    <n v="6"/>
  </r>
  <r>
    <x v="1"/>
    <n v="1"/>
  </r>
  <r>
    <x v="1"/>
    <n v="5"/>
  </r>
  <r>
    <x v="0"/>
    <n v="41"/>
  </r>
  <r>
    <x v="1"/>
    <n v="12"/>
  </r>
  <r>
    <x v="0"/>
    <n v="26"/>
  </r>
  <r>
    <x v="0"/>
    <n v="46"/>
  </r>
  <r>
    <x v="1"/>
    <n v="34"/>
  </r>
  <r>
    <x v="1"/>
    <n v="49"/>
  </r>
  <r>
    <x v="0"/>
    <n v="14"/>
  </r>
  <r>
    <x v="1"/>
    <n v="26"/>
  </r>
  <r>
    <x v="1"/>
    <n v="45"/>
  </r>
  <r>
    <x v="1"/>
    <n v="27"/>
  </r>
  <r>
    <x v="1"/>
    <n v="9"/>
  </r>
  <r>
    <x v="1"/>
    <n v="26"/>
  </r>
  <r>
    <x v="1"/>
    <n v="57"/>
  </r>
  <r>
    <x v="1"/>
    <n v="47"/>
  </r>
  <r>
    <x v="1"/>
    <n v="57"/>
  </r>
  <r>
    <x v="1"/>
    <n v="22"/>
  </r>
  <r>
    <x v="1"/>
    <n v="47"/>
  </r>
  <r>
    <x v="1"/>
    <n v="56"/>
  </r>
  <r>
    <x v="0"/>
    <n v="30"/>
  </r>
  <r>
    <x v="1"/>
    <n v="43"/>
  </r>
  <r>
    <x v="1"/>
    <n v="48"/>
  </r>
  <r>
    <x v="1"/>
    <n v="17"/>
  </r>
  <r>
    <x v="1"/>
    <n v="26"/>
  </r>
  <r>
    <x v="1"/>
    <n v="36"/>
  </r>
  <r>
    <x v="0"/>
    <n v="1"/>
  </r>
  <r>
    <x v="1"/>
    <n v="8"/>
  </r>
  <r>
    <x v="0"/>
    <n v="49"/>
  </r>
  <r>
    <x v="1"/>
    <n v="35"/>
  </r>
  <r>
    <x v="1"/>
    <n v="52"/>
  </r>
  <r>
    <x v="1"/>
    <n v="15"/>
  </r>
  <r>
    <x v="0"/>
    <n v="47"/>
  </r>
  <r>
    <x v="1"/>
    <n v="56"/>
  </r>
  <r>
    <x v="1"/>
    <n v="22"/>
  </r>
  <r>
    <x v="1"/>
    <n v="14"/>
  </r>
  <r>
    <x v="1"/>
    <n v="26"/>
  </r>
  <r>
    <x v="1"/>
    <n v="28"/>
  </r>
  <r>
    <x v="1"/>
    <n v="23"/>
  </r>
  <r>
    <x v="1"/>
    <n v="14"/>
  </r>
  <r>
    <x v="1"/>
    <n v="24"/>
  </r>
  <r>
    <x v="1"/>
    <n v="2"/>
  </r>
  <r>
    <x v="0"/>
    <n v="45"/>
  </r>
  <r>
    <x v="0"/>
    <n v="26"/>
  </r>
  <r>
    <x v="0"/>
    <n v="14"/>
  </r>
  <r>
    <x v="1"/>
    <n v="59"/>
  </r>
  <r>
    <x v="1"/>
    <n v="56"/>
  </r>
  <r>
    <x v="1"/>
    <n v="51"/>
  </r>
  <r>
    <x v="1"/>
    <n v="7"/>
  </r>
  <r>
    <x v="1"/>
    <n v="3"/>
  </r>
  <r>
    <x v="1"/>
    <n v="47"/>
  </r>
  <r>
    <x v="1"/>
    <n v="23"/>
  </r>
  <r>
    <x v="1"/>
    <n v="46"/>
  </r>
  <r>
    <x v="0"/>
    <n v="43"/>
  </r>
  <r>
    <x v="1"/>
    <n v="47"/>
  </r>
  <r>
    <x v="1"/>
    <n v="45"/>
  </r>
  <r>
    <x v="1"/>
    <n v="18"/>
  </r>
  <r>
    <x v="1"/>
    <n v="58"/>
  </r>
  <r>
    <x v="1"/>
    <n v="38"/>
  </r>
  <r>
    <x v="0"/>
    <n v="35"/>
  </r>
  <r>
    <x v="0"/>
    <n v="51"/>
  </r>
  <r>
    <x v="1"/>
    <n v="15"/>
  </r>
  <r>
    <x v="0"/>
    <n v="25"/>
  </r>
  <r>
    <x v="0"/>
    <n v="55"/>
  </r>
  <r>
    <x v="0"/>
    <n v="37"/>
  </r>
  <r>
    <x v="0"/>
    <n v="28"/>
  </r>
  <r>
    <x v="1"/>
    <n v="10"/>
  </r>
  <r>
    <x v="1"/>
    <n v="39"/>
  </r>
  <r>
    <x v="1"/>
    <n v="57"/>
  </r>
  <r>
    <x v="1"/>
    <n v="17"/>
  </r>
  <r>
    <x v="0"/>
    <n v="39"/>
  </r>
  <r>
    <x v="1"/>
    <n v="22"/>
  </r>
  <r>
    <x v="1"/>
    <n v="26"/>
  </r>
  <r>
    <x v="0"/>
    <n v="44"/>
  </r>
  <r>
    <x v="0"/>
    <n v="25"/>
  </r>
  <r>
    <x v="0"/>
    <n v="17"/>
  </r>
  <r>
    <x v="1"/>
    <n v="13"/>
  </r>
  <r>
    <x v="1"/>
    <n v="20"/>
  </r>
  <r>
    <x v="1"/>
    <n v="25"/>
  </r>
  <r>
    <x v="1"/>
    <n v="4"/>
  </r>
  <r>
    <x v="1"/>
    <n v="10"/>
  </r>
  <r>
    <x v="1"/>
    <n v="3"/>
  </r>
  <r>
    <x v="0"/>
    <n v="41"/>
  </r>
  <r>
    <x v="1"/>
    <n v="45"/>
  </r>
  <r>
    <x v="1"/>
    <n v="18"/>
  </r>
  <r>
    <x v="1"/>
    <n v="47"/>
  </r>
  <r>
    <x v="1"/>
    <n v="36"/>
  </r>
  <r>
    <x v="1"/>
    <n v="47"/>
  </r>
  <r>
    <x v="0"/>
    <n v="22"/>
  </r>
  <r>
    <x v="1"/>
    <n v="34"/>
  </r>
  <r>
    <x v="0"/>
    <n v="47"/>
  </r>
  <r>
    <x v="1"/>
    <n v="8"/>
  </r>
  <r>
    <x v="0"/>
    <n v="40"/>
  </r>
  <r>
    <x v="1"/>
    <n v="49"/>
  </r>
  <r>
    <x v="1"/>
    <n v="44"/>
  </r>
  <r>
    <x v="1"/>
    <n v="19"/>
  </r>
  <r>
    <x v="0"/>
    <n v="42"/>
  </r>
  <r>
    <x v="1"/>
    <n v="41"/>
  </r>
  <r>
    <x v="1"/>
    <n v="37"/>
  </r>
  <r>
    <x v="0"/>
    <n v="6"/>
  </r>
  <r>
    <x v="0"/>
    <n v="52"/>
  </r>
  <r>
    <x v="1"/>
    <n v="26"/>
  </r>
  <r>
    <x v="1"/>
    <n v="34"/>
  </r>
  <r>
    <x v="1"/>
    <n v="59"/>
  </r>
  <r>
    <x v="1"/>
    <n v="56"/>
  </r>
  <r>
    <x v="1"/>
    <n v="59"/>
  </r>
  <r>
    <x v="0"/>
    <n v="45"/>
  </r>
  <r>
    <x v="0"/>
    <n v="6"/>
  </r>
  <r>
    <x v="1"/>
    <n v="37"/>
  </r>
  <r>
    <x v="1"/>
    <n v="57"/>
  </r>
  <r>
    <x v="1"/>
    <n v="33"/>
  </r>
  <r>
    <x v="0"/>
    <n v="53"/>
  </r>
  <r>
    <x v="0"/>
    <n v="22"/>
  </r>
  <r>
    <x v="1"/>
    <n v="21"/>
  </r>
  <r>
    <x v="0"/>
    <n v="6"/>
  </r>
  <r>
    <x v="1"/>
    <n v="6"/>
  </r>
  <r>
    <x v="1"/>
    <n v="55"/>
  </r>
  <r>
    <x v="1"/>
    <n v="48"/>
  </r>
  <r>
    <x v="1"/>
    <n v="4"/>
  </r>
  <r>
    <x v="1"/>
    <n v="30"/>
  </r>
  <r>
    <x v="1"/>
    <n v="11"/>
  </r>
  <r>
    <x v="1"/>
    <n v="30"/>
  </r>
  <r>
    <x v="0"/>
    <n v="31"/>
  </r>
  <r>
    <x v="1"/>
    <n v="24"/>
  </r>
  <r>
    <x v="1"/>
    <n v="55"/>
  </r>
  <r>
    <x v="1"/>
    <n v="9"/>
  </r>
  <r>
    <x v="1"/>
    <n v="55"/>
  </r>
  <r>
    <x v="1"/>
    <n v="3"/>
  </r>
  <r>
    <x v="1"/>
    <n v="51"/>
  </r>
  <r>
    <x v="1"/>
    <n v="31"/>
  </r>
  <r>
    <x v="1"/>
    <n v="40"/>
  </r>
  <r>
    <x v="1"/>
    <n v="37"/>
  </r>
  <r>
    <x v="1"/>
    <n v="36"/>
  </r>
  <r>
    <x v="1"/>
    <n v="24"/>
  </r>
  <r>
    <x v="1"/>
    <n v="31"/>
  </r>
  <r>
    <x v="1"/>
    <n v="6"/>
  </r>
  <r>
    <x v="0"/>
    <n v="2"/>
  </r>
  <r>
    <x v="1"/>
    <n v="20"/>
  </r>
  <r>
    <x v="1"/>
    <n v="28"/>
  </r>
  <r>
    <x v="0"/>
    <n v="11"/>
  </r>
  <r>
    <x v="1"/>
    <n v="4"/>
  </r>
  <r>
    <x v="1"/>
    <n v="15"/>
  </r>
  <r>
    <x v="0"/>
    <n v="6"/>
  </r>
  <r>
    <x v="0"/>
    <n v="54"/>
  </r>
  <r>
    <x v="0"/>
    <n v="49"/>
  </r>
  <r>
    <x v="1"/>
    <n v="30"/>
  </r>
  <r>
    <x v="1"/>
    <n v="56"/>
  </r>
  <r>
    <x v="1"/>
    <n v="38"/>
  </r>
  <r>
    <x v="1"/>
    <n v="51"/>
  </r>
  <r>
    <x v="1"/>
    <n v="57"/>
  </r>
  <r>
    <x v="1"/>
    <n v="2"/>
  </r>
  <r>
    <x v="0"/>
    <n v="15"/>
  </r>
  <r>
    <x v="1"/>
    <n v="11"/>
  </r>
  <r>
    <x v="1"/>
    <n v="8"/>
  </r>
  <r>
    <x v="1"/>
    <n v="26"/>
  </r>
  <r>
    <x v="1"/>
    <n v="51"/>
  </r>
  <r>
    <x v="1"/>
    <n v="45"/>
  </r>
  <r>
    <x v="1"/>
    <n v="44"/>
  </r>
  <r>
    <x v="1"/>
    <n v="5"/>
  </r>
  <r>
    <x v="1"/>
    <n v="6"/>
  </r>
  <r>
    <x v="0"/>
    <n v="26"/>
  </r>
  <r>
    <x v="0"/>
    <n v="54"/>
  </r>
  <r>
    <x v="1"/>
    <n v="4"/>
  </r>
  <r>
    <x v="1"/>
    <n v="19"/>
  </r>
  <r>
    <x v="0"/>
    <n v="20"/>
  </r>
  <r>
    <x v="0"/>
    <n v="33"/>
  </r>
  <r>
    <x v="1"/>
    <n v="20"/>
  </r>
  <r>
    <x v="1"/>
    <n v="49"/>
  </r>
  <r>
    <x v="1"/>
    <n v="12"/>
  </r>
  <r>
    <x v="0"/>
    <n v="47"/>
  </r>
  <r>
    <x v="0"/>
    <n v="1"/>
  </r>
  <r>
    <x v="1"/>
    <n v="26"/>
  </r>
  <r>
    <x v="0"/>
    <n v="14"/>
  </r>
  <r>
    <x v="1"/>
    <n v="38"/>
  </r>
  <r>
    <x v="0"/>
    <n v="37"/>
  </r>
  <r>
    <x v="1"/>
    <n v="11"/>
  </r>
  <r>
    <x v="0"/>
    <n v="36"/>
  </r>
  <r>
    <x v="1"/>
    <n v="13"/>
  </r>
  <r>
    <x v="1"/>
    <n v="43"/>
  </r>
  <r>
    <x v="1"/>
    <n v="3"/>
  </r>
  <r>
    <x v="0"/>
    <n v="33"/>
  </r>
  <r>
    <x v="0"/>
    <n v="6"/>
  </r>
  <r>
    <x v="0"/>
    <n v="50"/>
  </r>
  <r>
    <x v="0"/>
    <n v="56"/>
  </r>
  <r>
    <x v="1"/>
    <n v="10"/>
  </r>
  <r>
    <x v="1"/>
    <n v="5"/>
  </r>
  <r>
    <x v="1"/>
    <n v="23"/>
  </r>
  <r>
    <x v="1"/>
    <n v="10"/>
  </r>
  <r>
    <x v="1"/>
    <n v="44"/>
  </r>
  <r>
    <x v="1"/>
    <n v="2"/>
  </r>
  <r>
    <x v="1"/>
    <n v="13"/>
  </r>
  <r>
    <x v="1"/>
    <n v="40"/>
  </r>
  <r>
    <x v="1"/>
    <n v="2"/>
  </r>
  <r>
    <x v="1"/>
    <n v="20"/>
  </r>
  <r>
    <x v="0"/>
    <n v="1"/>
  </r>
  <r>
    <x v="0"/>
    <n v="37"/>
  </r>
  <r>
    <x v="0"/>
    <n v="9"/>
  </r>
  <r>
    <x v="1"/>
    <n v="17"/>
  </r>
  <r>
    <x v="1"/>
    <n v="9"/>
  </r>
  <r>
    <x v="0"/>
    <n v="11"/>
  </r>
  <r>
    <x v="1"/>
    <n v="15"/>
  </r>
  <r>
    <x v="1"/>
    <n v="24"/>
  </r>
  <r>
    <x v="1"/>
    <n v="38"/>
  </r>
  <r>
    <x v="1"/>
    <n v="55"/>
  </r>
  <r>
    <x v="1"/>
    <n v="35"/>
  </r>
  <r>
    <x v="1"/>
    <n v="30"/>
  </r>
  <r>
    <x v="1"/>
    <n v="31"/>
  </r>
  <r>
    <x v="1"/>
    <n v="49"/>
  </r>
  <r>
    <x v="1"/>
    <n v="5"/>
  </r>
  <r>
    <x v="0"/>
    <n v="44"/>
  </r>
  <r>
    <x v="1"/>
    <n v="50"/>
  </r>
  <r>
    <x v="1"/>
    <n v="14"/>
  </r>
  <r>
    <x v="0"/>
    <n v="53"/>
  </r>
  <r>
    <x v="1"/>
    <n v="56"/>
  </r>
  <r>
    <x v="1"/>
    <n v="11"/>
  </r>
  <r>
    <x v="1"/>
    <n v="9"/>
  </r>
  <r>
    <x v="1"/>
    <n v="34"/>
  </r>
  <r>
    <x v="1"/>
    <n v="12"/>
  </r>
  <r>
    <x v="0"/>
    <n v="35"/>
  </r>
  <r>
    <x v="1"/>
    <n v="35"/>
  </r>
  <r>
    <x v="1"/>
    <n v="1"/>
  </r>
  <r>
    <x v="1"/>
    <n v="40"/>
  </r>
  <r>
    <x v="1"/>
    <n v="22"/>
  </r>
  <r>
    <x v="1"/>
    <n v="29"/>
  </r>
  <r>
    <x v="1"/>
    <n v="8"/>
  </r>
  <r>
    <x v="1"/>
    <n v="11"/>
  </r>
  <r>
    <x v="1"/>
    <n v="41"/>
  </r>
  <r>
    <x v="1"/>
    <n v="37"/>
  </r>
  <r>
    <x v="1"/>
    <n v="14"/>
  </r>
  <r>
    <x v="0"/>
    <n v="30"/>
  </r>
  <r>
    <x v="1"/>
    <n v="35"/>
  </r>
  <r>
    <x v="1"/>
    <n v="21"/>
  </r>
  <r>
    <x v="1"/>
    <n v="37"/>
  </r>
  <r>
    <x v="1"/>
    <n v="5"/>
  </r>
  <r>
    <x v="1"/>
    <n v="19"/>
  </r>
  <r>
    <x v="1"/>
    <n v="59"/>
  </r>
  <r>
    <x v="0"/>
    <n v="14"/>
  </r>
  <r>
    <x v="0"/>
    <n v="26"/>
  </r>
  <r>
    <x v="1"/>
    <n v="4"/>
  </r>
  <r>
    <x v="1"/>
    <n v="25"/>
  </r>
  <r>
    <x v="0"/>
    <n v="45"/>
  </r>
  <r>
    <x v="0"/>
    <n v="42"/>
  </r>
  <r>
    <x v="0"/>
    <n v="25"/>
  </r>
  <r>
    <x v="1"/>
    <n v="18"/>
  </r>
  <r>
    <x v="1"/>
    <n v="40"/>
  </r>
  <r>
    <x v="1"/>
    <n v="8"/>
  </r>
  <r>
    <x v="1"/>
    <n v="39"/>
  </r>
  <r>
    <x v="1"/>
    <n v="40"/>
  </r>
  <r>
    <x v="1"/>
    <n v="14"/>
  </r>
  <r>
    <x v="0"/>
    <n v="32"/>
  </r>
  <r>
    <x v="1"/>
    <n v="51"/>
  </r>
  <r>
    <x v="0"/>
    <n v="38"/>
  </r>
  <r>
    <x v="1"/>
    <n v="33"/>
  </r>
  <r>
    <x v="1"/>
    <n v="23"/>
  </r>
  <r>
    <x v="1"/>
    <n v="15"/>
  </r>
  <r>
    <x v="0"/>
    <n v="33"/>
  </r>
  <r>
    <x v="1"/>
    <n v="25"/>
  </r>
  <r>
    <x v="1"/>
    <n v="17"/>
  </r>
  <r>
    <x v="0"/>
    <n v="33"/>
  </r>
  <r>
    <x v="1"/>
    <n v="47"/>
  </r>
  <r>
    <x v="1"/>
    <n v="55"/>
  </r>
  <r>
    <x v="1"/>
    <n v="2"/>
  </r>
  <r>
    <x v="1"/>
    <n v="14"/>
  </r>
  <r>
    <x v="1"/>
    <n v="53"/>
  </r>
  <r>
    <x v="1"/>
    <n v="40"/>
  </r>
  <r>
    <x v="1"/>
    <n v="40"/>
  </r>
  <r>
    <x v="1"/>
    <n v="51"/>
  </r>
  <r>
    <x v="1"/>
    <n v="39"/>
  </r>
  <r>
    <x v="1"/>
    <n v="51"/>
  </r>
  <r>
    <x v="1"/>
    <n v="6"/>
  </r>
  <r>
    <x v="1"/>
    <n v="6"/>
  </r>
  <r>
    <x v="1"/>
    <n v="3"/>
  </r>
  <r>
    <x v="1"/>
    <n v="7"/>
  </r>
  <r>
    <x v="1"/>
    <n v="51"/>
  </r>
  <r>
    <x v="0"/>
    <n v="8"/>
  </r>
  <r>
    <x v="1"/>
    <n v="42"/>
  </r>
  <r>
    <x v="0"/>
    <n v="52"/>
  </r>
  <r>
    <x v="0"/>
    <n v="15"/>
  </r>
  <r>
    <x v="1"/>
    <n v="47"/>
  </r>
  <r>
    <x v="1"/>
    <n v="29"/>
  </r>
  <r>
    <x v="1"/>
    <n v="33"/>
  </r>
  <r>
    <x v="0"/>
    <n v="52"/>
  </r>
  <r>
    <x v="1"/>
    <n v="30"/>
  </r>
  <r>
    <x v="1"/>
    <n v="39"/>
  </r>
  <r>
    <x v="1"/>
    <n v="27"/>
  </r>
  <r>
    <x v="0"/>
    <n v="36"/>
  </r>
  <r>
    <x v="0"/>
    <n v="29"/>
  </r>
  <r>
    <x v="1"/>
    <n v="38"/>
  </r>
  <r>
    <x v="1"/>
    <n v="57"/>
  </r>
  <r>
    <x v="1"/>
    <n v="33"/>
  </r>
  <r>
    <x v="1"/>
    <n v="37"/>
  </r>
  <r>
    <x v="0"/>
    <n v="27"/>
  </r>
  <r>
    <x v="1"/>
    <n v="55"/>
  </r>
  <r>
    <x v="1"/>
    <n v="33"/>
  </r>
  <r>
    <x v="1"/>
    <n v="4"/>
  </r>
  <r>
    <x v="0"/>
    <n v="22"/>
  </r>
  <r>
    <x v="0"/>
    <n v="2"/>
  </r>
  <r>
    <x v="1"/>
    <n v="10"/>
  </r>
  <r>
    <x v="0"/>
    <n v="5"/>
  </r>
  <r>
    <x v="1"/>
    <n v="59"/>
  </r>
  <r>
    <x v="1"/>
    <n v="10"/>
  </r>
  <r>
    <x v="1"/>
    <n v="33"/>
  </r>
  <r>
    <x v="1"/>
    <n v="54"/>
  </r>
  <r>
    <x v="1"/>
    <n v="38"/>
  </r>
  <r>
    <x v="0"/>
    <n v="13"/>
  </r>
  <r>
    <x v="1"/>
    <n v="31"/>
  </r>
  <r>
    <x v="1"/>
    <n v="47"/>
  </r>
  <r>
    <x v="1"/>
    <n v="36"/>
  </r>
  <r>
    <x v="1"/>
    <n v="45"/>
  </r>
  <r>
    <x v="0"/>
    <n v="24"/>
  </r>
  <r>
    <x v="1"/>
    <n v="52"/>
  </r>
  <r>
    <x v="1"/>
    <n v="56"/>
  </r>
  <r>
    <x v="0"/>
    <n v="15"/>
  </r>
  <r>
    <x v="1"/>
    <n v="29"/>
  </r>
  <r>
    <x v="1"/>
    <n v="8"/>
  </r>
  <r>
    <x v="1"/>
    <n v="5"/>
  </r>
  <r>
    <x v="1"/>
    <n v="29"/>
  </r>
  <r>
    <x v="0"/>
    <n v="47"/>
  </r>
  <r>
    <x v="0"/>
    <n v="4"/>
  </r>
  <r>
    <x v="1"/>
    <n v="12"/>
  </r>
  <r>
    <x v="0"/>
    <n v="45"/>
  </r>
  <r>
    <x v="1"/>
    <n v="2"/>
  </r>
  <r>
    <x v="1"/>
    <n v="27"/>
  </r>
  <r>
    <x v="1"/>
    <n v="31"/>
  </r>
  <r>
    <x v="1"/>
    <n v="51"/>
  </r>
  <r>
    <x v="1"/>
    <n v="5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"/>
    <n v="56"/>
    <s v="Female"/>
    <n v="2"/>
    <n v="3"/>
    <x v="0"/>
    <s v="Government"/>
    <n v="2.5"/>
    <n v="12252.96"/>
    <n v="9"/>
    <x v="0"/>
  </r>
  <r>
    <n v="2"/>
    <n v="69"/>
    <s v="Male"/>
    <n v="10"/>
    <n v="3"/>
    <x v="1"/>
    <s v="Government"/>
    <n v="2.6"/>
    <n v="25862.01"/>
    <n v="4"/>
    <x v="1"/>
  </r>
  <r>
    <n v="3"/>
    <n v="46"/>
    <s v="Female"/>
    <n v="56"/>
    <n v="10"/>
    <x v="0"/>
    <s v="None"/>
    <n v="2.8"/>
    <n v="5659.13"/>
    <n v="4"/>
    <x v="1"/>
  </r>
  <r>
    <n v="4"/>
    <n v="32"/>
    <s v="Male"/>
    <n v="30"/>
    <n v="4"/>
    <x v="1"/>
    <s v="Government"/>
    <n v="4.0999999999999996"/>
    <n v="19533.310000000001"/>
    <n v="5"/>
    <x v="1"/>
  </r>
  <r>
    <n v="5"/>
    <n v="60"/>
    <s v="Male"/>
    <n v="50"/>
    <n v="19"/>
    <x v="0"/>
    <s v="Private"/>
    <n v="4.5999999999999996"/>
    <n v="24639.52"/>
    <n v="5"/>
    <x v="1"/>
  </r>
  <r>
    <n v="6"/>
    <n v="25"/>
    <s v="Female"/>
    <n v="59"/>
    <n v="10"/>
    <x v="0"/>
    <s v="Private"/>
    <n v="4.8"/>
    <n v="32785.1"/>
    <n v="5"/>
    <x v="1"/>
  </r>
  <r>
    <n v="7"/>
    <n v="78"/>
    <s v="Female"/>
    <n v="45"/>
    <n v="9"/>
    <x v="1"/>
    <s v="None"/>
    <n v="4.0999999999999996"/>
    <n v="47551.29"/>
    <n v="1"/>
    <x v="1"/>
  </r>
  <r>
    <n v="8"/>
    <n v="38"/>
    <s v="Female"/>
    <n v="5"/>
    <n v="7"/>
    <x v="0"/>
    <s v="Private"/>
    <n v="2.2999999999999998"/>
    <n v="30232.23"/>
    <n v="9"/>
    <x v="1"/>
  </r>
  <r>
    <n v="9"/>
    <n v="56"/>
    <s v="Male"/>
    <n v="55"/>
    <n v="5"/>
    <x v="0"/>
    <s v="Government"/>
    <n v="3.8"/>
    <n v="37307.9"/>
    <n v="2"/>
    <x v="0"/>
  </r>
  <r>
    <n v="10"/>
    <n v="75"/>
    <s v="Female"/>
    <n v="56"/>
    <n v="5"/>
    <x v="1"/>
    <s v="Private"/>
    <n v="2.8"/>
    <n v="25560.17"/>
    <n v="5"/>
    <x v="1"/>
  </r>
  <r>
    <n v="11"/>
    <n v="36"/>
    <s v="Male"/>
    <n v="33"/>
    <n v="7"/>
    <x v="0"/>
    <s v="None"/>
    <n v="2"/>
    <n v="31888.15"/>
    <n v="7"/>
    <x v="0"/>
  </r>
  <r>
    <n v="12"/>
    <n v="40"/>
    <s v="Male"/>
    <n v="54"/>
    <n v="14"/>
    <x v="0"/>
    <s v="Government"/>
    <n v="4.4000000000000004"/>
    <n v="4011.14"/>
    <n v="0"/>
    <x v="1"/>
  </r>
  <r>
    <n v="13"/>
    <n v="28"/>
    <s v="Male"/>
    <n v="1"/>
    <n v="13"/>
    <x v="0"/>
    <s v="None"/>
    <n v="1.2"/>
    <n v="13092.38"/>
    <n v="0"/>
    <x v="1"/>
  </r>
  <r>
    <n v="14"/>
    <n v="28"/>
    <s v="Female"/>
    <n v="18"/>
    <n v="10"/>
    <x v="1"/>
    <s v="Government"/>
    <n v="4.5999999999999996"/>
    <n v="18411.73"/>
    <n v="1"/>
    <x v="1"/>
  </r>
  <r>
    <n v="15"/>
    <n v="41"/>
    <s v="Female"/>
    <n v="32"/>
    <n v="11"/>
    <x v="0"/>
    <s v="Private"/>
    <n v="2.8"/>
    <n v="23888.42"/>
    <n v="5"/>
    <x v="1"/>
  </r>
  <r>
    <n v="16"/>
    <n v="70"/>
    <s v="Male"/>
    <n v="47"/>
    <n v="12"/>
    <x v="0"/>
    <s v="None"/>
    <n v="3.5"/>
    <n v="2759.61"/>
    <n v="8"/>
    <x v="1"/>
  </r>
  <r>
    <n v="17"/>
    <n v="53"/>
    <s v="Male"/>
    <n v="49"/>
    <n v="7"/>
    <x v="0"/>
    <s v="None"/>
    <n v="3.6"/>
    <n v="7431.19"/>
    <n v="3"/>
    <x v="1"/>
  </r>
  <r>
    <n v="18"/>
    <n v="57"/>
    <s v="Female"/>
    <n v="11"/>
    <n v="17"/>
    <x v="0"/>
    <s v="Government"/>
    <n v="4.5999999999999996"/>
    <n v="14202.31"/>
    <n v="2"/>
    <x v="1"/>
  </r>
  <r>
    <n v="19"/>
    <n v="41"/>
    <s v="Male"/>
    <n v="21"/>
    <n v="0"/>
    <x v="1"/>
    <s v="None"/>
    <n v="3.5"/>
    <n v="48590.87"/>
    <n v="7"/>
    <x v="1"/>
  </r>
  <r>
    <n v="20"/>
    <n v="20"/>
    <s v="Female"/>
    <n v="26"/>
    <n v="14"/>
    <x v="1"/>
    <s v="Government"/>
    <n v="3.5"/>
    <n v="16901.68"/>
    <n v="9"/>
    <x v="0"/>
  </r>
  <r>
    <n v="21"/>
    <n v="39"/>
    <s v="Male"/>
    <n v="25"/>
    <n v="7"/>
    <x v="0"/>
    <s v="Government"/>
    <n v="1.3"/>
    <n v="24361.03"/>
    <n v="8"/>
    <x v="0"/>
  </r>
  <r>
    <n v="22"/>
    <n v="70"/>
    <s v="Female"/>
    <n v="22"/>
    <n v="10"/>
    <x v="0"/>
    <s v="Government"/>
    <n v="3.1"/>
    <n v="10206.84"/>
    <n v="4"/>
    <x v="1"/>
  </r>
  <r>
    <n v="23"/>
    <n v="19"/>
    <s v="Male"/>
    <n v="59"/>
    <n v="11"/>
    <x v="1"/>
    <s v="Government"/>
    <n v="1.6"/>
    <n v="30733.61"/>
    <n v="8"/>
    <x v="1"/>
  </r>
  <r>
    <n v="24"/>
    <n v="41"/>
    <s v="Female"/>
    <n v="27"/>
    <n v="11"/>
    <x v="1"/>
    <s v="Private"/>
    <n v="3.9"/>
    <n v="14393.82"/>
    <n v="1"/>
    <x v="1"/>
  </r>
  <r>
    <n v="25"/>
    <n v="61"/>
    <s v="Male"/>
    <n v="49"/>
    <n v="3"/>
    <x v="0"/>
    <s v="Government"/>
    <n v="3"/>
    <n v="10746.13"/>
    <n v="2"/>
    <x v="1"/>
  </r>
  <r>
    <n v="26"/>
    <n v="47"/>
    <s v="Female"/>
    <n v="13"/>
    <n v="15"/>
    <x v="1"/>
    <s v="None"/>
    <n v="3.7"/>
    <n v="26070.35"/>
    <n v="6"/>
    <x v="1"/>
  </r>
  <r>
    <n v="27"/>
    <n v="55"/>
    <s v="Female"/>
    <n v="33"/>
    <n v="3"/>
    <x v="0"/>
    <s v="Private"/>
    <n v="1.2"/>
    <n v="772.54"/>
    <n v="6"/>
    <x v="1"/>
  </r>
  <r>
    <n v="28"/>
    <n v="19"/>
    <s v="Male"/>
    <n v="34"/>
    <n v="4"/>
    <x v="1"/>
    <s v="None"/>
    <n v="1.3"/>
    <n v="879.37"/>
    <n v="5"/>
    <x v="1"/>
  </r>
  <r>
    <n v="29"/>
    <n v="77"/>
    <s v="Male"/>
    <n v="41"/>
    <n v="4"/>
    <x v="1"/>
    <s v="Private"/>
    <n v="3.9"/>
    <n v="11343.91"/>
    <n v="5"/>
    <x v="1"/>
  </r>
  <r>
    <n v="30"/>
    <n v="38"/>
    <s v="Female"/>
    <n v="35"/>
    <n v="7"/>
    <x v="1"/>
    <s v="Government"/>
    <n v="1.3"/>
    <n v="2317.71"/>
    <n v="1"/>
    <x v="1"/>
  </r>
  <r>
    <n v="31"/>
    <n v="50"/>
    <s v="Male"/>
    <n v="1"/>
    <n v="9"/>
    <x v="1"/>
    <s v="Private"/>
    <n v="1.3"/>
    <n v="5847.27"/>
    <n v="9"/>
    <x v="0"/>
  </r>
  <r>
    <n v="32"/>
    <n v="29"/>
    <s v="Female"/>
    <n v="21"/>
    <n v="16"/>
    <x v="0"/>
    <s v="Private"/>
    <n v="1"/>
    <n v="17273.599999999999"/>
    <n v="5"/>
    <x v="0"/>
  </r>
  <r>
    <n v="33"/>
    <n v="75"/>
    <s v="Male"/>
    <n v="48"/>
    <n v="8"/>
    <x v="1"/>
    <s v="None"/>
    <n v="4.8"/>
    <n v="40227.99"/>
    <n v="3"/>
    <x v="1"/>
  </r>
  <r>
    <n v="34"/>
    <n v="39"/>
    <s v="Female"/>
    <n v="55"/>
    <n v="18"/>
    <x v="1"/>
    <s v="None"/>
    <n v="4"/>
    <n v="28816.41"/>
    <n v="2"/>
    <x v="0"/>
  </r>
  <r>
    <n v="35"/>
    <n v="78"/>
    <s v="Female"/>
    <n v="6"/>
    <n v="13"/>
    <x v="0"/>
    <s v="Government"/>
    <n v="2.4"/>
    <n v="25877.05"/>
    <n v="1"/>
    <x v="0"/>
  </r>
  <r>
    <n v="36"/>
    <n v="61"/>
    <s v="Female"/>
    <n v="28"/>
    <n v="7"/>
    <x v="1"/>
    <s v="Private"/>
    <n v="2.2000000000000002"/>
    <n v="15027.7"/>
    <n v="0"/>
    <x v="1"/>
  </r>
  <r>
    <n v="37"/>
    <n v="42"/>
    <s v="Female"/>
    <n v="17"/>
    <n v="8"/>
    <x v="1"/>
    <s v="Private"/>
    <n v="2.4"/>
    <n v="46621.81"/>
    <n v="4"/>
    <x v="1"/>
  </r>
  <r>
    <n v="38"/>
    <n v="66"/>
    <s v="Female"/>
    <n v="5"/>
    <n v="10"/>
    <x v="0"/>
    <s v="Private"/>
    <n v="4.0999999999999996"/>
    <n v="20152.240000000002"/>
    <n v="1"/>
    <x v="1"/>
  </r>
  <r>
    <n v="39"/>
    <n v="44"/>
    <s v="Female"/>
    <n v="31"/>
    <n v="0"/>
    <x v="1"/>
    <s v="Government"/>
    <n v="3.6"/>
    <n v="4811.09"/>
    <n v="1"/>
    <x v="0"/>
  </r>
  <r>
    <n v="40"/>
    <n v="76"/>
    <s v="Male"/>
    <n v="5"/>
    <n v="13"/>
    <x v="0"/>
    <s v="Government"/>
    <n v="1.7"/>
    <n v="31044.79"/>
    <n v="6"/>
    <x v="0"/>
  </r>
  <r>
    <n v="41"/>
    <n v="59"/>
    <s v="Male"/>
    <n v="38"/>
    <n v="4"/>
    <x v="0"/>
    <s v="Government"/>
    <n v="1.7"/>
    <n v="6135"/>
    <n v="7"/>
    <x v="1"/>
  </r>
  <r>
    <n v="42"/>
    <n v="45"/>
    <s v="Male"/>
    <n v="3"/>
    <n v="13"/>
    <x v="0"/>
    <s v="Government"/>
    <n v="1.4"/>
    <n v="17588.55"/>
    <n v="9"/>
    <x v="1"/>
  </r>
  <r>
    <n v="43"/>
    <n v="77"/>
    <s v="Female"/>
    <n v="53"/>
    <n v="3"/>
    <x v="0"/>
    <s v="Government"/>
    <n v="3.6"/>
    <n v="25616.89"/>
    <n v="7"/>
    <x v="1"/>
  </r>
  <r>
    <n v="44"/>
    <n v="33"/>
    <s v="Female"/>
    <n v="23"/>
    <n v="0"/>
    <x v="1"/>
    <s v="None"/>
    <n v="4.0999999999999996"/>
    <n v="43774.01"/>
    <n v="3"/>
    <x v="1"/>
  </r>
  <r>
    <n v="45"/>
    <n v="32"/>
    <s v="Female"/>
    <n v="37"/>
    <n v="18"/>
    <x v="0"/>
    <s v="Private"/>
    <n v="2.1"/>
    <n v="24930.560000000001"/>
    <n v="0"/>
    <x v="1"/>
  </r>
  <r>
    <n v="46"/>
    <n v="79"/>
    <s v="Female"/>
    <n v="53"/>
    <n v="7"/>
    <x v="1"/>
    <s v="Private"/>
    <n v="1.1000000000000001"/>
    <n v="35261.81"/>
    <n v="6"/>
    <x v="0"/>
  </r>
  <r>
    <n v="47"/>
    <n v="79"/>
    <s v="Male"/>
    <n v="37"/>
    <n v="14"/>
    <x v="1"/>
    <s v="Private"/>
    <n v="1.3"/>
    <n v="49644.43"/>
    <n v="0"/>
    <x v="1"/>
  </r>
  <r>
    <n v="48"/>
    <n v="64"/>
    <s v="Male"/>
    <n v="10"/>
    <n v="14"/>
    <x v="1"/>
    <s v="Private"/>
    <n v="4.9000000000000004"/>
    <n v="7008.71"/>
    <n v="3"/>
    <x v="0"/>
  </r>
  <r>
    <n v="49"/>
    <n v="79"/>
    <s v="Female"/>
    <n v="10"/>
    <n v="8"/>
    <x v="1"/>
    <s v="Private"/>
    <n v="2.2000000000000002"/>
    <n v="14099.21"/>
    <n v="7"/>
    <x v="0"/>
  </r>
  <r>
    <n v="50"/>
    <n v="68"/>
    <s v="Male"/>
    <n v="19"/>
    <n v="8"/>
    <x v="1"/>
    <s v="Private"/>
    <n v="4.0999999999999996"/>
    <n v="20031.52"/>
    <n v="1"/>
    <x v="1"/>
  </r>
  <r>
    <n v="51"/>
    <n v="61"/>
    <s v="Male"/>
    <n v="17"/>
    <n v="9"/>
    <x v="1"/>
    <s v="Private"/>
    <n v="3.5"/>
    <n v="21380.49"/>
    <n v="5"/>
    <x v="1"/>
  </r>
  <r>
    <n v="52"/>
    <n v="72"/>
    <s v="Female"/>
    <n v="21"/>
    <n v="19"/>
    <x v="1"/>
    <s v="Private"/>
    <n v="2.5"/>
    <n v="20845.54"/>
    <n v="5"/>
    <x v="1"/>
  </r>
  <r>
    <n v="53"/>
    <n v="69"/>
    <s v="Male"/>
    <n v="14"/>
    <n v="8"/>
    <x v="1"/>
    <s v="None"/>
    <n v="1.8"/>
    <n v="45426.74"/>
    <n v="8"/>
    <x v="1"/>
  </r>
  <r>
    <n v="54"/>
    <n v="74"/>
    <s v="Female"/>
    <n v="9"/>
    <n v="2"/>
    <x v="1"/>
    <s v="Private"/>
    <n v="1.5"/>
    <n v="35844.620000000003"/>
    <n v="4"/>
    <x v="1"/>
  </r>
  <r>
    <n v="55"/>
    <n v="20"/>
    <s v="Male"/>
    <n v="46"/>
    <n v="19"/>
    <x v="1"/>
    <s v="None"/>
    <n v="3.5"/>
    <n v="30591.31"/>
    <n v="9"/>
    <x v="1"/>
  </r>
  <r>
    <n v="56"/>
    <n v="54"/>
    <s v="Female"/>
    <n v="1"/>
    <n v="10"/>
    <x v="0"/>
    <s v="Government"/>
    <n v="4.0999999999999996"/>
    <n v="15813.95"/>
    <n v="3"/>
    <x v="1"/>
  </r>
  <r>
    <n v="57"/>
    <n v="68"/>
    <s v="Female"/>
    <n v="51"/>
    <n v="5"/>
    <x v="0"/>
    <s v="Private"/>
    <n v="3.6"/>
    <n v="41277.620000000003"/>
    <n v="4"/>
    <x v="1"/>
  </r>
  <r>
    <n v="58"/>
    <n v="24"/>
    <s v="Female"/>
    <n v="45"/>
    <n v="1"/>
    <x v="0"/>
    <s v="Government"/>
    <n v="3.1"/>
    <n v="47775.5"/>
    <n v="9"/>
    <x v="1"/>
  </r>
  <r>
    <n v="59"/>
    <n v="38"/>
    <s v="Female"/>
    <n v="13"/>
    <n v="6"/>
    <x v="1"/>
    <s v="Government"/>
    <n v="1.2"/>
    <n v="41149.31"/>
    <n v="4"/>
    <x v="1"/>
  </r>
  <r>
    <n v="60"/>
    <n v="26"/>
    <s v="Male"/>
    <n v="4"/>
    <n v="17"/>
    <x v="0"/>
    <s v="Government"/>
    <n v="4.9000000000000004"/>
    <n v="577.47"/>
    <n v="7"/>
    <x v="1"/>
  </r>
  <r>
    <n v="61"/>
    <n v="56"/>
    <s v="Female"/>
    <n v="1"/>
    <n v="1"/>
    <x v="0"/>
    <s v="None"/>
    <n v="4.2"/>
    <n v="32001.87"/>
    <n v="9"/>
    <x v="1"/>
  </r>
  <r>
    <n v="62"/>
    <n v="35"/>
    <s v="Female"/>
    <n v="49"/>
    <n v="16"/>
    <x v="0"/>
    <s v="Government"/>
    <n v="2.2000000000000002"/>
    <n v="3031.2"/>
    <n v="7"/>
    <x v="1"/>
  </r>
  <r>
    <n v="63"/>
    <n v="21"/>
    <s v="Female"/>
    <n v="40"/>
    <n v="10"/>
    <x v="1"/>
    <s v="Government"/>
    <n v="4.9000000000000004"/>
    <n v="13251.56"/>
    <n v="1"/>
    <x v="1"/>
  </r>
  <r>
    <n v="64"/>
    <n v="42"/>
    <s v="Male"/>
    <n v="32"/>
    <n v="11"/>
    <x v="1"/>
    <s v="Government"/>
    <n v="3.4"/>
    <n v="3446.47"/>
    <n v="6"/>
    <x v="1"/>
  </r>
  <r>
    <n v="65"/>
    <n v="77"/>
    <s v="Female"/>
    <n v="34"/>
    <n v="18"/>
    <x v="1"/>
    <s v="Private"/>
    <n v="3.3"/>
    <n v="30387.87"/>
    <n v="7"/>
    <x v="1"/>
  </r>
  <r>
    <n v="66"/>
    <n v="31"/>
    <s v="Male"/>
    <n v="28"/>
    <n v="6"/>
    <x v="1"/>
    <s v="Private"/>
    <n v="4"/>
    <n v="34486.199999999997"/>
    <n v="5"/>
    <x v="1"/>
  </r>
  <r>
    <n v="67"/>
    <n v="67"/>
    <s v="Female"/>
    <n v="31"/>
    <n v="19"/>
    <x v="0"/>
    <s v="None"/>
    <n v="4.2"/>
    <n v="6167.14"/>
    <n v="4"/>
    <x v="1"/>
  </r>
  <r>
    <n v="68"/>
    <n v="75"/>
    <s v="Male"/>
    <n v="8"/>
    <n v="5"/>
    <x v="0"/>
    <s v="None"/>
    <n v="3.6"/>
    <n v="19500.02"/>
    <n v="8"/>
    <x v="0"/>
  </r>
  <r>
    <n v="69"/>
    <n v="26"/>
    <s v="Male"/>
    <n v="39"/>
    <n v="0"/>
    <x v="0"/>
    <s v="Private"/>
    <n v="1.5"/>
    <n v="23083.71"/>
    <n v="2"/>
    <x v="1"/>
  </r>
  <r>
    <n v="70"/>
    <n v="43"/>
    <s v="Female"/>
    <n v="26"/>
    <n v="16"/>
    <x v="0"/>
    <s v="None"/>
    <n v="2.4"/>
    <n v="18768.12"/>
    <n v="9"/>
    <x v="1"/>
  </r>
  <r>
    <n v="71"/>
    <n v="70"/>
    <s v="Male"/>
    <n v="58"/>
    <n v="10"/>
    <x v="1"/>
    <s v="Private"/>
    <n v="4.7"/>
    <n v="6490.74"/>
    <n v="3"/>
    <x v="1"/>
  </r>
  <r>
    <n v="72"/>
    <n v="19"/>
    <s v="Female"/>
    <n v="34"/>
    <n v="17"/>
    <x v="1"/>
    <s v="Government"/>
    <n v="1.9"/>
    <n v="21237.919999999998"/>
    <n v="8"/>
    <x v="1"/>
  </r>
  <r>
    <n v="73"/>
    <n v="37"/>
    <s v="Female"/>
    <n v="54"/>
    <n v="16"/>
    <x v="1"/>
    <s v="Government"/>
    <n v="2.5"/>
    <n v="37683.31"/>
    <n v="5"/>
    <x v="1"/>
  </r>
  <r>
    <n v="74"/>
    <n v="45"/>
    <s v="Female"/>
    <n v="54"/>
    <n v="6"/>
    <x v="0"/>
    <s v="None"/>
    <n v="2.7"/>
    <n v="4014.88"/>
    <n v="7"/>
    <x v="1"/>
  </r>
  <r>
    <n v="75"/>
    <n v="64"/>
    <s v="Male"/>
    <n v="3"/>
    <n v="16"/>
    <x v="1"/>
    <s v="Private"/>
    <n v="2.8"/>
    <n v="4468.91"/>
    <n v="6"/>
    <x v="1"/>
  </r>
  <r>
    <n v="76"/>
    <n v="77"/>
    <s v="Male"/>
    <n v="59"/>
    <n v="19"/>
    <x v="1"/>
    <s v="Private"/>
    <n v="3.5"/>
    <n v="18061.18"/>
    <n v="1"/>
    <x v="1"/>
  </r>
  <r>
    <n v="77"/>
    <n v="24"/>
    <s v="Female"/>
    <n v="50"/>
    <n v="8"/>
    <x v="0"/>
    <s v="None"/>
    <n v="4.8"/>
    <n v="47115.42"/>
    <n v="2"/>
    <x v="1"/>
  </r>
  <r>
    <n v="78"/>
    <n v="61"/>
    <s v="Female"/>
    <n v="12"/>
    <n v="16"/>
    <x v="0"/>
    <s v="Private"/>
    <n v="2"/>
    <n v="33594.35"/>
    <n v="0"/>
    <x v="1"/>
  </r>
  <r>
    <n v="79"/>
    <n v="78"/>
    <s v="Male"/>
    <n v="1"/>
    <n v="19"/>
    <x v="1"/>
    <s v="Government"/>
    <n v="1.5"/>
    <n v="34094.160000000003"/>
    <n v="8"/>
    <x v="1"/>
  </r>
  <r>
    <n v="80"/>
    <n v="25"/>
    <s v="Female"/>
    <n v="54"/>
    <n v="7"/>
    <x v="1"/>
    <s v="None"/>
    <n v="1.8"/>
    <n v="18415.04"/>
    <n v="6"/>
    <x v="0"/>
  </r>
  <r>
    <n v="81"/>
    <n v="64"/>
    <s v="Female"/>
    <n v="44"/>
    <n v="16"/>
    <x v="1"/>
    <s v="None"/>
    <n v="4.5"/>
    <n v="29886.21"/>
    <n v="0"/>
    <x v="1"/>
  </r>
  <r>
    <n v="82"/>
    <n v="52"/>
    <s v="Female"/>
    <n v="5"/>
    <n v="6"/>
    <x v="1"/>
    <s v="Private"/>
    <n v="3.6"/>
    <n v="1001.49"/>
    <n v="2"/>
    <x v="1"/>
  </r>
  <r>
    <n v="83"/>
    <n v="31"/>
    <s v="Male"/>
    <n v="30"/>
    <n v="0"/>
    <x v="1"/>
    <s v="None"/>
    <n v="2.1"/>
    <n v="31986.75"/>
    <n v="3"/>
    <x v="1"/>
  </r>
  <r>
    <n v="84"/>
    <n v="34"/>
    <s v="Male"/>
    <n v="30"/>
    <n v="12"/>
    <x v="1"/>
    <s v="Private"/>
    <n v="4.3"/>
    <n v="45707.7"/>
    <n v="3"/>
    <x v="1"/>
  </r>
  <r>
    <n v="85"/>
    <n v="53"/>
    <s v="Male"/>
    <n v="59"/>
    <n v="18"/>
    <x v="0"/>
    <s v="Private"/>
    <n v="4.4000000000000004"/>
    <n v="30822.39"/>
    <n v="4"/>
    <x v="1"/>
  </r>
  <r>
    <n v="86"/>
    <n v="67"/>
    <s v="Female"/>
    <n v="57"/>
    <n v="18"/>
    <x v="0"/>
    <s v="Private"/>
    <n v="4.4000000000000004"/>
    <n v="43748.08"/>
    <n v="2"/>
    <x v="1"/>
  </r>
  <r>
    <n v="87"/>
    <n v="57"/>
    <s v="Female"/>
    <n v="17"/>
    <n v="16"/>
    <x v="0"/>
    <s v="Private"/>
    <n v="4.7"/>
    <n v="36336.67"/>
    <n v="2"/>
    <x v="1"/>
  </r>
  <r>
    <n v="88"/>
    <n v="21"/>
    <s v="Female"/>
    <n v="48"/>
    <n v="12"/>
    <x v="1"/>
    <s v="Private"/>
    <n v="2"/>
    <n v="6467.64"/>
    <n v="0"/>
    <x v="1"/>
  </r>
  <r>
    <n v="89"/>
    <n v="19"/>
    <s v="Male"/>
    <n v="47"/>
    <n v="15"/>
    <x v="0"/>
    <s v="None"/>
    <n v="4"/>
    <n v="45171.44"/>
    <n v="6"/>
    <x v="1"/>
  </r>
  <r>
    <n v="90"/>
    <n v="79"/>
    <s v="Female"/>
    <n v="23"/>
    <n v="7"/>
    <x v="1"/>
    <s v="Government"/>
    <n v="2.8"/>
    <n v="3788.97"/>
    <n v="9"/>
    <x v="1"/>
  </r>
  <r>
    <n v="91"/>
    <n v="23"/>
    <s v="Female"/>
    <n v="15"/>
    <n v="18"/>
    <x v="1"/>
    <s v="Government"/>
    <n v="4.4000000000000004"/>
    <n v="26931.39"/>
    <n v="0"/>
    <x v="0"/>
  </r>
  <r>
    <n v="92"/>
    <n v="71"/>
    <s v="Female"/>
    <n v="37"/>
    <n v="17"/>
    <x v="0"/>
    <s v="None"/>
    <n v="3.9"/>
    <n v="7535.79"/>
    <n v="1"/>
    <x v="1"/>
  </r>
  <r>
    <n v="93"/>
    <n v="59"/>
    <s v="Female"/>
    <n v="21"/>
    <n v="0"/>
    <x v="1"/>
    <s v="None"/>
    <n v="4.0999999999999996"/>
    <n v="1079.48"/>
    <n v="3"/>
    <x v="1"/>
  </r>
  <r>
    <n v="94"/>
    <n v="21"/>
    <s v="Male"/>
    <n v="14"/>
    <n v="13"/>
    <x v="1"/>
    <s v="Government"/>
    <n v="3.6"/>
    <n v="21390.7"/>
    <n v="3"/>
    <x v="1"/>
  </r>
  <r>
    <n v="95"/>
    <n v="71"/>
    <s v="Male"/>
    <n v="2"/>
    <n v="18"/>
    <x v="0"/>
    <s v="Government"/>
    <n v="1.7"/>
    <n v="15104.52"/>
    <n v="4"/>
    <x v="1"/>
  </r>
  <r>
    <n v="96"/>
    <n v="46"/>
    <s v="Female"/>
    <n v="11"/>
    <n v="14"/>
    <x v="0"/>
    <s v="Government"/>
    <n v="3.2"/>
    <n v="24557.02"/>
    <n v="1"/>
    <x v="1"/>
  </r>
  <r>
    <n v="97"/>
    <n v="35"/>
    <s v="Male"/>
    <n v="51"/>
    <n v="17"/>
    <x v="0"/>
    <s v="Government"/>
    <n v="4.9000000000000004"/>
    <n v="29071.39"/>
    <n v="3"/>
    <x v="1"/>
  </r>
  <r>
    <n v="98"/>
    <n v="43"/>
    <s v="Male"/>
    <n v="39"/>
    <n v="1"/>
    <x v="1"/>
    <s v="Government"/>
    <n v="4.7"/>
    <n v="2665.08"/>
    <n v="0"/>
    <x v="1"/>
  </r>
  <r>
    <n v="99"/>
    <n v="61"/>
    <s v="Female"/>
    <n v="38"/>
    <n v="16"/>
    <x v="0"/>
    <s v="Private"/>
    <n v="1.2"/>
    <n v="6588.66"/>
    <n v="1"/>
    <x v="1"/>
  </r>
  <r>
    <n v="100"/>
    <n v="51"/>
    <s v="Female"/>
    <n v="34"/>
    <n v="17"/>
    <x v="0"/>
    <s v="None"/>
    <n v="1.7"/>
    <n v="28152.799999999999"/>
    <n v="0"/>
    <x v="1"/>
  </r>
  <r>
    <n v="101"/>
    <n v="27"/>
    <s v="Male"/>
    <n v="38"/>
    <n v="5"/>
    <x v="1"/>
    <s v="Private"/>
    <n v="1.5"/>
    <n v="17486.78"/>
    <n v="9"/>
    <x v="1"/>
  </r>
  <r>
    <n v="102"/>
    <n v="79"/>
    <s v="Female"/>
    <n v="50"/>
    <n v="18"/>
    <x v="0"/>
    <s v="Government"/>
    <n v="3.9"/>
    <n v="36594.089999999997"/>
    <n v="9"/>
    <x v="0"/>
  </r>
  <r>
    <n v="103"/>
    <n v="53"/>
    <s v="Male"/>
    <n v="34"/>
    <n v="3"/>
    <x v="0"/>
    <s v="Government"/>
    <n v="4.3"/>
    <n v="32788.44"/>
    <n v="3"/>
    <x v="1"/>
  </r>
  <r>
    <n v="104"/>
    <n v="31"/>
    <s v="Female"/>
    <n v="18"/>
    <n v="0"/>
    <x v="0"/>
    <s v="Government"/>
    <n v="1.9"/>
    <n v="42357.42"/>
    <n v="3"/>
    <x v="1"/>
  </r>
  <r>
    <n v="105"/>
    <n v="48"/>
    <s v="Male"/>
    <n v="30"/>
    <n v="7"/>
    <x v="1"/>
    <s v="Private"/>
    <n v="3"/>
    <n v="34778.39"/>
    <n v="6"/>
    <x v="1"/>
  </r>
  <r>
    <n v="106"/>
    <n v="65"/>
    <s v="Female"/>
    <n v="15"/>
    <n v="6"/>
    <x v="1"/>
    <s v="Private"/>
    <n v="4.4000000000000004"/>
    <n v="21781.59"/>
    <n v="9"/>
    <x v="1"/>
  </r>
  <r>
    <n v="107"/>
    <n v="32"/>
    <s v="Male"/>
    <n v="27"/>
    <n v="2"/>
    <x v="1"/>
    <s v="Government"/>
    <n v="3.9"/>
    <n v="33811.85"/>
    <n v="8"/>
    <x v="0"/>
  </r>
  <r>
    <n v="108"/>
    <n v="25"/>
    <s v="Male"/>
    <n v="51"/>
    <n v="9"/>
    <x v="1"/>
    <s v="Private"/>
    <n v="3.2"/>
    <n v="14131.37"/>
    <n v="8"/>
    <x v="1"/>
  </r>
  <r>
    <n v="109"/>
    <n v="31"/>
    <s v="Male"/>
    <n v="34"/>
    <n v="9"/>
    <x v="0"/>
    <s v="Private"/>
    <n v="3.4"/>
    <n v="15662.52"/>
    <n v="4"/>
    <x v="1"/>
  </r>
  <r>
    <n v="110"/>
    <n v="40"/>
    <s v="Female"/>
    <n v="52"/>
    <n v="18"/>
    <x v="1"/>
    <s v="Government"/>
    <n v="3"/>
    <n v="39554.769999999997"/>
    <n v="9"/>
    <x v="1"/>
  </r>
  <r>
    <n v="111"/>
    <n v="77"/>
    <s v="Male"/>
    <n v="57"/>
    <n v="13"/>
    <x v="1"/>
    <s v="Private"/>
    <n v="2.2000000000000002"/>
    <n v="22597.77"/>
    <n v="0"/>
    <x v="1"/>
  </r>
  <r>
    <n v="112"/>
    <n v="74"/>
    <s v="Male"/>
    <n v="38"/>
    <n v="1"/>
    <x v="0"/>
    <s v="None"/>
    <n v="3.3"/>
    <n v="40019.83"/>
    <n v="0"/>
    <x v="1"/>
  </r>
  <r>
    <n v="113"/>
    <n v="79"/>
    <s v="Female"/>
    <n v="33"/>
    <n v="0"/>
    <x v="0"/>
    <s v="None"/>
    <n v="3.8"/>
    <n v="41209.910000000003"/>
    <n v="5"/>
    <x v="1"/>
  </r>
  <r>
    <n v="114"/>
    <n v="57"/>
    <s v="Female"/>
    <n v="24"/>
    <n v="17"/>
    <x v="0"/>
    <s v="None"/>
    <n v="4.5"/>
    <n v="42949.34"/>
    <n v="1"/>
    <x v="1"/>
  </r>
  <r>
    <n v="115"/>
    <n v="38"/>
    <s v="Male"/>
    <n v="15"/>
    <n v="6"/>
    <x v="1"/>
    <s v="None"/>
    <n v="3.5"/>
    <n v="45873.440000000002"/>
    <n v="7"/>
    <x v="1"/>
  </r>
  <r>
    <n v="116"/>
    <n v="33"/>
    <s v="Male"/>
    <n v="30"/>
    <n v="7"/>
    <x v="1"/>
    <s v="Government"/>
    <n v="4"/>
    <n v="21833.77"/>
    <n v="8"/>
    <x v="1"/>
  </r>
  <r>
    <n v="117"/>
    <n v="62"/>
    <s v="Female"/>
    <n v="55"/>
    <n v="0"/>
    <x v="1"/>
    <s v="Government"/>
    <n v="1.6"/>
    <n v="16283.91"/>
    <n v="3"/>
    <x v="0"/>
  </r>
  <r>
    <n v="118"/>
    <n v="35"/>
    <s v="Female"/>
    <n v="42"/>
    <n v="2"/>
    <x v="0"/>
    <s v="Government"/>
    <n v="2.8"/>
    <n v="29318.84"/>
    <n v="4"/>
    <x v="0"/>
  </r>
  <r>
    <n v="119"/>
    <n v="64"/>
    <s v="Female"/>
    <n v="51"/>
    <n v="7"/>
    <x v="0"/>
    <s v="None"/>
    <n v="1"/>
    <n v="18873.03"/>
    <n v="7"/>
    <x v="0"/>
  </r>
  <r>
    <n v="120"/>
    <n v="70"/>
    <s v="Female"/>
    <n v="17"/>
    <n v="14"/>
    <x v="1"/>
    <s v="None"/>
    <n v="2"/>
    <n v="30253.17"/>
    <n v="2"/>
    <x v="1"/>
  </r>
  <r>
    <n v="121"/>
    <n v="41"/>
    <s v="Female"/>
    <n v="5"/>
    <n v="4"/>
    <x v="0"/>
    <s v="Private"/>
    <n v="3.9"/>
    <n v="35426.5"/>
    <n v="4"/>
    <x v="1"/>
  </r>
  <r>
    <n v="122"/>
    <n v="43"/>
    <s v="Male"/>
    <n v="29"/>
    <n v="2"/>
    <x v="0"/>
    <s v="Private"/>
    <n v="5"/>
    <n v="34576.050000000003"/>
    <n v="2"/>
    <x v="0"/>
  </r>
  <r>
    <n v="123"/>
    <n v="42"/>
    <s v="Female"/>
    <n v="4"/>
    <n v="18"/>
    <x v="0"/>
    <s v="None"/>
    <n v="1.4"/>
    <n v="19040.37"/>
    <n v="9"/>
    <x v="1"/>
  </r>
  <r>
    <n v="124"/>
    <n v="77"/>
    <s v="Male"/>
    <n v="10"/>
    <n v="0"/>
    <x v="1"/>
    <s v="None"/>
    <n v="2.6"/>
    <n v="8759.58"/>
    <n v="2"/>
    <x v="1"/>
  </r>
  <r>
    <n v="125"/>
    <n v="77"/>
    <s v="Male"/>
    <n v="56"/>
    <n v="14"/>
    <x v="0"/>
    <s v="None"/>
    <n v="4.2"/>
    <n v="21811.200000000001"/>
    <n v="2"/>
    <x v="0"/>
  </r>
  <r>
    <n v="126"/>
    <n v="77"/>
    <s v="Male"/>
    <n v="17"/>
    <n v="7"/>
    <x v="0"/>
    <s v="None"/>
    <n v="1.8"/>
    <n v="7558.41"/>
    <n v="6"/>
    <x v="0"/>
  </r>
  <r>
    <n v="127"/>
    <n v="62"/>
    <s v="Female"/>
    <n v="10"/>
    <n v="1"/>
    <x v="1"/>
    <s v="Private"/>
    <n v="3.2"/>
    <n v="44559.8"/>
    <n v="6"/>
    <x v="1"/>
  </r>
  <r>
    <n v="128"/>
    <n v="58"/>
    <s v="Male"/>
    <n v="17"/>
    <n v="2"/>
    <x v="1"/>
    <s v="None"/>
    <n v="3.9"/>
    <n v="17620.93"/>
    <n v="6"/>
    <x v="1"/>
  </r>
  <r>
    <n v="129"/>
    <n v="46"/>
    <s v="Male"/>
    <n v="20"/>
    <n v="13"/>
    <x v="0"/>
    <s v="Private"/>
    <n v="3.5"/>
    <n v="8145.76"/>
    <n v="9"/>
    <x v="1"/>
  </r>
  <r>
    <n v="130"/>
    <n v="32"/>
    <s v="Female"/>
    <n v="24"/>
    <n v="13"/>
    <x v="0"/>
    <s v="None"/>
    <n v="1.8"/>
    <n v="1759.66"/>
    <n v="7"/>
    <x v="0"/>
  </r>
  <r>
    <n v="131"/>
    <n v="62"/>
    <s v="Male"/>
    <n v="5"/>
    <n v="10"/>
    <x v="1"/>
    <s v="None"/>
    <n v="2.4"/>
    <n v="32468.21"/>
    <n v="4"/>
    <x v="0"/>
  </r>
  <r>
    <n v="132"/>
    <n v="18"/>
    <s v="Male"/>
    <n v="34"/>
    <n v="15"/>
    <x v="1"/>
    <s v="None"/>
    <n v="4.0999999999999996"/>
    <n v="32026.66"/>
    <n v="4"/>
    <x v="1"/>
  </r>
  <r>
    <n v="133"/>
    <n v="42"/>
    <s v="Female"/>
    <n v="6"/>
    <n v="3"/>
    <x v="0"/>
    <s v="Private"/>
    <n v="3.2"/>
    <n v="17359.91"/>
    <n v="3"/>
    <x v="1"/>
  </r>
  <r>
    <n v="134"/>
    <n v="24"/>
    <s v="Male"/>
    <n v="53"/>
    <n v="19"/>
    <x v="0"/>
    <s v="Private"/>
    <n v="1"/>
    <n v="4049.74"/>
    <n v="6"/>
    <x v="0"/>
  </r>
  <r>
    <n v="135"/>
    <n v="26"/>
    <s v="Male"/>
    <n v="2"/>
    <n v="4"/>
    <x v="0"/>
    <s v="Government"/>
    <n v="4"/>
    <n v="20776.63"/>
    <n v="9"/>
    <x v="1"/>
  </r>
  <r>
    <n v="136"/>
    <n v="41"/>
    <s v="Male"/>
    <n v="13"/>
    <n v="13"/>
    <x v="0"/>
    <s v="None"/>
    <n v="1.1000000000000001"/>
    <n v="15905.27"/>
    <n v="3"/>
    <x v="1"/>
  </r>
  <r>
    <n v="137"/>
    <n v="18"/>
    <s v="Female"/>
    <n v="43"/>
    <n v="15"/>
    <x v="1"/>
    <s v="Government"/>
    <n v="4"/>
    <n v="34017.47"/>
    <n v="1"/>
    <x v="0"/>
  </r>
  <r>
    <n v="138"/>
    <n v="61"/>
    <s v="Female"/>
    <n v="43"/>
    <n v="17"/>
    <x v="0"/>
    <s v="Government"/>
    <n v="1.8"/>
    <n v="30486.07"/>
    <n v="3"/>
    <x v="1"/>
  </r>
  <r>
    <n v="139"/>
    <n v="25"/>
    <s v="Female"/>
    <n v="48"/>
    <n v="6"/>
    <x v="0"/>
    <s v="Private"/>
    <n v="4.8"/>
    <n v="18547.39"/>
    <n v="7"/>
    <x v="1"/>
  </r>
  <r>
    <n v="140"/>
    <n v="41"/>
    <s v="Male"/>
    <n v="11"/>
    <n v="9"/>
    <x v="1"/>
    <s v="Private"/>
    <n v="2.5"/>
    <n v="11285.68"/>
    <n v="8"/>
    <x v="1"/>
  </r>
  <r>
    <n v="141"/>
    <n v="28"/>
    <s v="Male"/>
    <n v="51"/>
    <n v="6"/>
    <x v="0"/>
    <s v="Government"/>
    <n v="2.2999999999999998"/>
    <n v="49407.78"/>
    <n v="2"/>
    <x v="1"/>
  </r>
  <r>
    <n v="142"/>
    <n v="68"/>
    <s v="Female"/>
    <n v="47"/>
    <n v="0"/>
    <x v="1"/>
    <s v="None"/>
    <n v="1.6"/>
    <n v="22973.08"/>
    <n v="6"/>
    <x v="0"/>
  </r>
  <r>
    <n v="143"/>
    <n v="34"/>
    <s v="Male"/>
    <n v="57"/>
    <n v="18"/>
    <x v="0"/>
    <s v="Private"/>
    <n v="2.2000000000000002"/>
    <n v="34569.57"/>
    <n v="8"/>
    <x v="1"/>
  </r>
  <r>
    <n v="144"/>
    <n v="25"/>
    <s v="Male"/>
    <n v="23"/>
    <n v="15"/>
    <x v="0"/>
    <s v="None"/>
    <n v="4.5"/>
    <n v="7457.37"/>
    <n v="3"/>
    <x v="0"/>
  </r>
  <r>
    <n v="145"/>
    <n v="52"/>
    <s v="Female"/>
    <n v="55"/>
    <n v="18"/>
    <x v="1"/>
    <s v="None"/>
    <n v="5"/>
    <n v="24536.69"/>
    <n v="9"/>
    <x v="1"/>
  </r>
  <r>
    <n v="146"/>
    <n v="52"/>
    <s v="Female"/>
    <n v="16"/>
    <n v="3"/>
    <x v="1"/>
    <s v="Government"/>
    <n v="2.5"/>
    <n v="1863.07"/>
    <n v="2"/>
    <x v="1"/>
  </r>
  <r>
    <n v="147"/>
    <n v="50"/>
    <s v="Male"/>
    <n v="31"/>
    <n v="17"/>
    <x v="0"/>
    <s v="Government"/>
    <n v="2.8"/>
    <n v="25520.03"/>
    <n v="4"/>
    <x v="1"/>
  </r>
  <r>
    <n v="148"/>
    <n v="76"/>
    <s v="Male"/>
    <n v="11"/>
    <n v="1"/>
    <x v="0"/>
    <s v="Government"/>
    <n v="3.9"/>
    <n v="48218.86"/>
    <n v="0"/>
    <x v="1"/>
  </r>
  <r>
    <n v="149"/>
    <n v="22"/>
    <s v="Male"/>
    <n v="54"/>
    <n v="0"/>
    <x v="0"/>
    <s v="Government"/>
    <n v="4.5"/>
    <n v="19518.23"/>
    <n v="2"/>
    <x v="1"/>
  </r>
  <r>
    <n v="150"/>
    <n v="59"/>
    <s v="Female"/>
    <n v="16"/>
    <n v="14"/>
    <x v="1"/>
    <s v="Private"/>
    <n v="3.4"/>
    <n v="2430.3000000000002"/>
    <n v="7"/>
    <x v="1"/>
  </r>
  <r>
    <n v="151"/>
    <n v="56"/>
    <s v="Female"/>
    <n v="8"/>
    <n v="4"/>
    <x v="0"/>
    <s v="Private"/>
    <n v="2.6"/>
    <n v="2032.31"/>
    <n v="7"/>
    <x v="1"/>
  </r>
  <r>
    <n v="152"/>
    <n v="75"/>
    <s v="Female"/>
    <n v="4"/>
    <n v="19"/>
    <x v="1"/>
    <s v="Government"/>
    <n v="2.7"/>
    <n v="19705.34"/>
    <n v="3"/>
    <x v="1"/>
  </r>
  <r>
    <n v="153"/>
    <n v="58"/>
    <s v="Female"/>
    <n v="40"/>
    <n v="10"/>
    <x v="1"/>
    <s v="Private"/>
    <n v="3.8"/>
    <n v="8421.23"/>
    <n v="1"/>
    <x v="1"/>
  </r>
  <r>
    <n v="154"/>
    <n v="45"/>
    <s v="Male"/>
    <n v="4"/>
    <n v="9"/>
    <x v="0"/>
    <s v="Government"/>
    <n v="1"/>
    <n v="1655.93"/>
    <n v="7"/>
    <x v="1"/>
  </r>
  <r>
    <n v="155"/>
    <n v="24"/>
    <s v="Female"/>
    <n v="56"/>
    <n v="1"/>
    <x v="1"/>
    <s v="None"/>
    <n v="3.5"/>
    <n v="37932.57"/>
    <n v="7"/>
    <x v="1"/>
  </r>
  <r>
    <n v="156"/>
    <n v="26"/>
    <s v="Female"/>
    <n v="25"/>
    <n v="2"/>
    <x v="0"/>
    <s v="None"/>
    <n v="2.4"/>
    <n v="23196.89"/>
    <n v="9"/>
    <x v="1"/>
  </r>
  <r>
    <n v="157"/>
    <n v="25"/>
    <s v="Female"/>
    <n v="3"/>
    <n v="11"/>
    <x v="0"/>
    <s v="None"/>
    <n v="4.2"/>
    <n v="14817.62"/>
    <n v="3"/>
    <x v="1"/>
  </r>
  <r>
    <n v="158"/>
    <n v="29"/>
    <s v="Female"/>
    <n v="32"/>
    <n v="19"/>
    <x v="0"/>
    <s v="Government"/>
    <n v="1.4"/>
    <n v="45054.12"/>
    <n v="2"/>
    <x v="1"/>
  </r>
  <r>
    <n v="159"/>
    <n v="51"/>
    <s v="Female"/>
    <n v="3"/>
    <n v="4"/>
    <x v="0"/>
    <s v="None"/>
    <n v="3.4"/>
    <n v="6248.88"/>
    <n v="1"/>
    <x v="1"/>
  </r>
  <r>
    <n v="160"/>
    <n v="50"/>
    <s v="Male"/>
    <n v="27"/>
    <n v="4"/>
    <x v="0"/>
    <s v="Private"/>
    <n v="2.9"/>
    <n v="47817.98"/>
    <n v="8"/>
    <x v="1"/>
  </r>
  <r>
    <n v="161"/>
    <n v="65"/>
    <s v="Male"/>
    <n v="29"/>
    <n v="5"/>
    <x v="1"/>
    <s v="None"/>
    <n v="3.6"/>
    <n v="16041.35"/>
    <n v="0"/>
    <x v="0"/>
  </r>
  <r>
    <n v="162"/>
    <n v="72"/>
    <s v="Female"/>
    <n v="32"/>
    <n v="8"/>
    <x v="1"/>
    <s v="None"/>
    <n v="1.3"/>
    <n v="44475.98"/>
    <n v="6"/>
    <x v="0"/>
  </r>
  <r>
    <n v="163"/>
    <n v="40"/>
    <s v="Male"/>
    <n v="50"/>
    <n v="1"/>
    <x v="0"/>
    <s v="None"/>
    <n v="3.3"/>
    <n v="30345.67"/>
    <n v="4"/>
    <x v="1"/>
  </r>
  <r>
    <n v="164"/>
    <n v="79"/>
    <s v="Female"/>
    <n v="58"/>
    <n v="11"/>
    <x v="0"/>
    <s v="Private"/>
    <n v="3.2"/>
    <n v="41422.01"/>
    <n v="7"/>
    <x v="1"/>
  </r>
  <r>
    <n v="165"/>
    <n v="41"/>
    <s v="Female"/>
    <n v="51"/>
    <n v="2"/>
    <x v="1"/>
    <s v="Government"/>
    <n v="3.2"/>
    <n v="49208.65"/>
    <n v="3"/>
    <x v="0"/>
  </r>
  <r>
    <n v="166"/>
    <n v="54"/>
    <s v="Male"/>
    <n v="19"/>
    <n v="19"/>
    <x v="1"/>
    <s v="Private"/>
    <n v="3.4"/>
    <n v="14776.07"/>
    <n v="6"/>
    <x v="1"/>
  </r>
  <r>
    <n v="167"/>
    <n v="52"/>
    <s v="Male"/>
    <n v="21"/>
    <n v="11"/>
    <x v="1"/>
    <s v="Government"/>
    <n v="3.7"/>
    <n v="48076.21"/>
    <n v="4"/>
    <x v="0"/>
  </r>
  <r>
    <n v="168"/>
    <n v="61"/>
    <s v="Female"/>
    <n v="5"/>
    <n v="16"/>
    <x v="1"/>
    <s v="Government"/>
    <n v="4.2"/>
    <n v="19779.349999999999"/>
    <n v="4"/>
    <x v="0"/>
  </r>
  <r>
    <n v="169"/>
    <n v="57"/>
    <s v="Female"/>
    <n v="18"/>
    <n v="9"/>
    <x v="0"/>
    <s v="None"/>
    <n v="2.1"/>
    <n v="19582.84"/>
    <n v="8"/>
    <x v="0"/>
  </r>
  <r>
    <n v="170"/>
    <n v="39"/>
    <s v="Female"/>
    <n v="28"/>
    <n v="13"/>
    <x v="0"/>
    <s v="Government"/>
    <n v="4.3"/>
    <n v="17349.16"/>
    <n v="8"/>
    <x v="1"/>
  </r>
  <r>
    <n v="171"/>
    <n v="44"/>
    <s v="Male"/>
    <n v="42"/>
    <n v="16"/>
    <x v="1"/>
    <s v="Private"/>
    <n v="3"/>
    <n v="27299.68"/>
    <n v="8"/>
    <x v="1"/>
  </r>
  <r>
    <n v="172"/>
    <n v="52"/>
    <s v="Female"/>
    <n v="22"/>
    <n v="17"/>
    <x v="0"/>
    <s v="Private"/>
    <n v="1.3"/>
    <n v="8130.18"/>
    <n v="5"/>
    <x v="1"/>
  </r>
  <r>
    <n v="173"/>
    <n v="18"/>
    <s v="Female"/>
    <n v="21"/>
    <n v="18"/>
    <x v="1"/>
    <s v="Government"/>
    <n v="1.2"/>
    <n v="27908.720000000001"/>
    <n v="5"/>
    <x v="1"/>
  </r>
  <r>
    <n v="174"/>
    <n v="52"/>
    <s v="Female"/>
    <n v="6"/>
    <n v="16"/>
    <x v="0"/>
    <s v="None"/>
    <n v="2.2999999999999998"/>
    <n v="27314.39"/>
    <n v="4"/>
    <x v="1"/>
  </r>
  <r>
    <n v="175"/>
    <n v="54"/>
    <s v="Male"/>
    <n v="1"/>
    <n v="13"/>
    <x v="1"/>
    <s v="None"/>
    <n v="4.0999999999999996"/>
    <n v="38214.14"/>
    <n v="8"/>
    <x v="1"/>
  </r>
  <r>
    <n v="176"/>
    <n v="64"/>
    <s v="Female"/>
    <n v="5"/>
    <n v="8"/>
    <x v="0"/>
    <s v="Private"/>
    <n v="3.8"/>
    <n v="41765.67"/>
    <n v="9"/>
    <x v="1"/>
  </r>
  <r>
    <n v="177"/>
    <n v="31"/>
    <s v="Female"/>
    <n v="41"/>
    <n v="7"/>
    <x v="1"/>
    <s v="None"/>
    <n v="4.2"/>
    <n v="22301.85"/>
    <n v="7"/>
    <x v="0"/>
  </r>
  <r>
    <n v="178"/>
    <n v="20"/>
    <s v="Male"/>
    <n v="12"/>
    <n v="1"/>
    <x v="1"/>
    <s v="Government"/>
    <n v="3.1"/>
    <n v="15465.5"/>
    <n v="6"/>
    <x v="1"/>
  </r>
  <r>
    <n v="179"/>
    <n v="18"/>
    <s v="Female"/>
    <n v="26"/>
    <n v="12"/>
    <x v="0"/>
    <s v="Government"/>
    <n v="2.8"/>
    <n v="13337.08"/>
    <n v="6"/>
    <x v="0"/>
  </r>
  <r>
    <n v="180"/>
    <n v="22"/>
    <s v="Female"/>
    <n v="46"/>
    <n v="6"/>
    <x v="1"/>
    <s v="Private"/>
    <n v="1.6"/>
    <n v="10133.879999999999"/>
    <n v="5"/>
    <x v="0"/>
  </r>
  <r>
    <n v="181"/>
    <n v="43"/>
    <s v="Male"/>
    <n v="34"/>
    <n v="8"/>
    <x v="0"/>
    <s v="Government"/>
    <n v="2.2999999999999998"/>
    <n v="3353.56"/>
    <n v="4"/>
    <x v="1"/>
  </r>
  <r>
    <n v="182"/>
    <n v="72"/>
    <s v="Female"/>
    <n v="49"/>
    <n v="10"/>
    <x v="0"/>
    <s v="Private"/>
    <n v="2.7"/>
    <n v="17451.169999999998"/>
    <n v="3"/>
    <x v="1"/>
  </r>
  <r>
    <n v="183"/>
    <n v="31"/>
    <s v="Male"/>
    <n v="14"/>
    <n v="13"/>
    <x v="1"/>
    <s v="Government"/>
    <n v="1.4"/>
    <n v="13877.26"/>
    <n v="2"/>
    <x v="0"/>
  </r>
  <r>
    <n v="184"/>
    <n v="56"/>
    <s v="Male"/>
    <n v="26"/>
    <n v="3"/>
    <x v="0"/>
    <s v="Private"/>
    <n v="1.9"/>
    <n v="48337.66"/>
    <n v="2"/>
    <x v="1"/>
  </r>
  <r>
    <n v="185"/>
    <n v="44"/>
    <s v="Female"/>
    <n v="45"/>
    <n v="12"/>
    <x v="0"/>
    <s v="None"/>
    <n v="3.4"/>
    <n v="28106.59"/>
    <n v="5"/>
    <x v="1"/>
  </r>
  <r>
    <n v="186"/>
    <n v="26"/>
    <s v="Female"/>
    <n v="27"/>
    <n v="1"/>
    <x v="0"/>
    <s v="Government"/>
    <n v="3.9"/>
    <n v="17690.21"/>
    <n v="3"/>
    <x v="1"/>
  </r>
  <r>
    <n v="187"/>
    <n v="32"/>
    <s v="Female"/>
    <n v="9"/>
    <n v="4"/>
    <x v="0"/>
    <s v="Government"/>
    <n v="5"/>
    <n v="29233.15"/>
    <n v="5"/>
    <x v="1"/>
  </r>
  <r>
    <n v="188"/>
    <n v="32"/>
    <s v="Female"/>
    <n v="26"/>
    <n v="10"/>
    <x v="0"/>
    <s v="Private"/>
    <n v="4.7"/>
    <n v="7390.24"/>
    <n v="2"/>
    <x v="1"/>
  </r>
  <r>
    <n v="189"/>
    <n v="43"/>
    <s v="Male"/>
    <n v="57"/>
    <n v="5"/>
    <x v="1"/>
    <s v="Private"/>
    <n v="3.6"/>
    <n v="22480.17"/>
    <n v="3"/>
    <x v="1"/>
  </r>
  <r>
    <n v="190"/>
    <n v="59"/>
    <s v="Female"/>
    <n v="47"/>
    <n v="17"/>
    <x v="0"/>
    <s v="Government"/>
    <n v="2.7"/>
    <n v="31498.6"/>
    <n v="8"/>
    <x v="1"/>
  </r>
  <r>
    <n v="191"/>
    <n v="77"/>
    <s v="Male"/>
    <n v="57"/>
    <n v="9"/>
    <x v="0"/>
    <s v="Private"/>
    <n v="3.5"/>
    <n v="24700.44"/>
    <n v="4"/>
    <x v="1"/>
  </r>
  <r>
    <n v="192"/>
    <n v="30"/>
    <s v="Female"/>
    <n v="22"/>
    <n v="3"/>
    <x v="0"/>
    <s v="Government"/>
    <n v="4.0999999999999996"/>
    <n v="20388.05"/>
    <n v="6"/>
    <x v="1"/>
  </r>
  <r>
    <n v="193"/>
    <n v="68"/>
    <s v="Female"/>
    <n v="47"/>
    <n v="8"/>
    <x v="0"/>
    <s v="None"/>
    <n v="1.5"/>
    <n v="49695.5"/>
    <n v="9"/>
    <x v="1"/>
  </r>
  <r>
    <n v="194"/>
    <n v="49"/>
    <s v="Female"/>
    <n v="56"/>
    <n v="5"/>
    <x v="0"/>
    <s v="Private"/>
    <n v="2.6"/>
    <n v="44075.58"/>
    <n v="1"/>
    <x v="1"/>
  </r>
  <r>
    <n v="195"/>
    <n v="56"/>
    <s v="Male"/>
    <n v="30"/>
    <n v="1"/>
    <x v="1"/>
    <s v="Government"/>
    <n v="4.4000000000000004"/>
    <n v="31358.59"/>
    <n v="4"/>
    <x v="0"/>
  </r>
  <r>
    <n v="196"/>
    <n v="66"/>
    <s v="Female"/>
    <n v="43"/>
    <n v="16"/>
    <x v="0"/>
    <s v="None"/>
    <n v="2.5"/>
    <n v="28684.18"/>
    <n v="8"/>
    <x v="1"/>
  </r>
  <r>
    <n v="197"/>
    <n v="69"/>
    <s v="Female"/>
    <n v="48"/>
    <n v="4"/>
    <x v="1"/>
    <s v="None"/>
    <n v="3.3"/>
    <n v="31222.69"/>
    <n v="2"/>
    <x v="1"/>
  </r>
  <r>
    <n v="198"/>
    <n v="78"/>
    <s v="Female"/>
    <n v="17"/>
    <n v="5"/>
    <x v="1"/>
    <s v="Government"/>
    <n v="3.4"/>
    <n v="10464.950000000001"/>
    <n v="8"/>
    <x v="1"/>
  </r>
  <r>
    <n v="199"/>
    <n v="49"/>
    <s v="Female"/>
    <n v="26"/>
    <n v="11"/>
    <x v="1"/>
    <s v="Private"/>
    <n v="1.7"/>
    <n v="20059.32"/>
    <n v="5"/>
    <x v="1"/>
  </r>
  <r>
    <n v="200"/>
    <n v="21"/>
    <s v="Male"/>
    <n v="36"/>
    <n v="9"/>
    <x v="1"/>
    <s v="Government"/>
    <n v="2.4"/>
    <n v="2453.25"/>
    <n v="3"/>
    <x v="1"/>
  </r>
  <r>
    <n v="201"/>
    <n v="47"/>
    <s v="Female"/>
    <n v="1"/>
    <n v="5"/>
    <x v="0"/>
    <s v="None"/>
    <n v="2.2999999999999998"/>
    <n v="24039.53"/>
    <n v="6"/>
    <x v="0"/>
  </r>
  <r>
    <n v="202"/>
    <n v="54"/>
    <s v="Male"/>
    <n v="8"/>
    <n v="7"/>
    <x v="1"/>
    <s v="Government"/>
    <n v="1.1000000000000001"/>
    <n v="27379.72"/>
    <n v="7"/>
    <x v="1"/>
  </r>
  <r>
    <n v="203"/>
    <n v="40"/>
    <s v="Male"/>
    <n v="49"/>
    <n v="1"/>
    <x v="1"/>
    <s v="Private"/>
    <n v="1.1000000000000001"/>
    <n v="11773.61"/>
    <n v="5"/>
    <x v="0"/>
  </r>
  <r>
    <n v="204"/>
    <n v="56"/>
    <s v="Male"/>
    <n v="35"/>
    <n v="11"/>
    <x v="0"/>
    <s v="None"/>
    <n v="4.3"/>
    <n v="48219.43"/>
    <n v="4"/>
    <x v="1"/>
  </r>
  <r>
    <n v="205"/>
    <n v="62"/>
    <s v="Male"/>
    <n v="52"/>
    <n v="12"/>
    <x v="0"/>
    <s v="Government"/>
    <n v="2.1"/>
    <n v="45518"/>
    <n v="5"/>
    <x v="1"/>
  </r>
  <r>
    <n v="206"/>
    <n v="32"/>
    <s v="Male"/>
    <n v="15"/>
    <n v="6"/>
    <x v="0"/>
    <s v="Private"/>
    <n v="3.1"/>
    <n v="36246.089999999997"/>
    <n v="4"/>
    <x v="1"/>
  </r>
  <r>
    <n v="207"/>
    <n v="60"/>
    <s v="Male"/>
    <n v="47"/>
    <n v="9"/>
    <x v="1"/>
    <s v="None"/>
    <n v="2.2000000000000002"/>
    <n v="26902.639999999999"/>
    <n v="7"/>
    <x v="0"/>
  </r>
  <r>
    <n v="208"/>
    <n v="46"/>
    <s v="Female"/>
    <n v="56"/>
    <n v="12"/>
    <x v="0"/>
    <s v="Private"/>
    <n v="4.8"/>
    <n v="43563.47"/>
    <n v="0"/>
    <x v="1"/>
  </r>
  <r>
    <n v="209"/>
    <n v="53"/>
    <s v="Male"/>
    <n v="22"/>
    <n v="16"/>
    <x v="0"/>
    <s v="None"/>
    <n v="2"/>
    <n v="6967.29"/>
    <n v="6"/>
    <x v="1"/>
  </r>
  <r>
    <n v="210"/>
    <n v="30"/>
    <s v="Male"/>
    <n v="14"/>
    <n v="13"/>
    <x v="1"/>
    <s v="Government"/>
    <n v="2.7"/>
    <n v="39630.230000000003"/>
    <n v="9"/>
    <x v="1"/>
  </r>
  <r>
    <n v="211"/>
    <n v="49"/>
    <s v="Male"/>
    <n v="26"/>
    <n v="1"/>
    <x v="0"/>
    <s v="Private"/>
    <n v="4.5"/>
    <n v="6678.63"/>
    <n v="9"/>
    <x v="1"/>
  </r>
  <r>
    <n v="212"/>
    <n v="24"/>
    <s v="Female"/>
    <n v="28"/>
    <n v="10"/>
    <x v="0"/>
    <s v="None"/>
    <n v="4.4000000000000004"/>
    <n v="39813.43"/>
    <n v="1"/>
    <x v="1"/>
  </r>
  <r>
    <n v="213"/>
    <n v="76"/>
    <s v="Female"/>
    <n v="23"/>
    <n v="0"/>
    <x v="0"/>
    <s v="Private"/>
    <n v="1.7"/>
    <n v="14150.49"/>
    <n v="8"/>
    <x v="1"/>
  </r>
  <r>
    <n v="214"/>
    <n v="68"/>
    <s v="Male"/>
    <n v="14"/>
    <n v="18"/>
    <x v="0"/>
    <s v="Private"/>
    <n v="4.2"/>
    <n v="43915.98"/>
    <n v="0"/>
    <x v="1"/>
  </r>
  <r>
    <n v="215"/>
    <n v="39"/>
    <s v="Female"/>
    <n v="24"/>
    <n v="3"/>
    <x v="1"/>
    <s v="Government"/>
    <n v="2.8"/>
    <n v="47230.080000000002"/>
    <n v="9"/>
    <x v="1"/>
  </r>
  <r>
    <n v="216"/>
    <n v="45"/>
    <s v="Male"/>
    <n v="2"/>
    <n v="18"/>
    <x v="0"/>
    <s v="Private"/>
    <n v="2.9"/>
    <n v="7865.4"/>
    <n v="5"/>
    <x v="1"/>
  </r>
  <r>
    <n v="217"/>
    <n v="19"/>
    <s v="Male"/>
    <n v="45"/>
    <n v="10"/>
    <x v="0"/>
    <s v="None"/>
    <n v="1.5"/>
    <n v="23402.44"/>
    <n v="8"/>
    <x v="0"/>
  </r>
  <r>
    <n v="218"/>
    <n v="59"/>
    <s v="Female"/>
    <n v="26"/>
    <n v="7"/>
    <x v="1"/>
    <s v="None"/>
    <n v="1.3"/>
    <n v="49058.879999999997"/>
    <n v="0"/>
    <x v="0"/>
  </r>
  <r>
    <n v="219"/>
    <n v="62"/>
    <s v="Male"/>
    <n v="14"/>
    <n v="10"/>
    <x v="0"/>
    <s v="None"/>
    <n v="3.9"/>
    <n v="24428.67"/>
    <n v="3"/>
    <x v="0"/>
  </r>
  <r>
    <n v="220"/>
    <n v="79"/>
    <s v="Female"/>
    <n v="59"/>
    <n v="3"/>
    <x v="1"/>
    <s v="None"/>
    <n v="3"/>
    <n v="43245.599999999999"/>
    <n v="3"/>
    <x v="1"/>
  </r>
  <r>
    <n v="221"/>
    <n v="74"/>
    <s v="Female"/>
    <n v="56"/>
    <n v="16"/>
    <x v="0"/>
    <s v="Government"/>
    <n v="2.7"/>
    <n v="29642.21"/>
    <n v="8"/>
    <x v="1"/>
  </r>
  <r>
    <n v="222"/>
    <n v="70"/>
    <s v="Male"/>
    <n v="51"/>
    <n v="6"/>
    <x v="1"/>
    <s v="Private"/>
    <n v="3.9"/>
    <n v="19078.830000000002"/>
    <n v="4"/>
    <x v="1"/>
  </r>
  <r>
    <n v="223"/>
    <n v="23"/>
    <s v="Male"/>
    <n v="7"/>
    <n v="7"/>
    <x v="1"/>
    <s v="Government"/>
    <n v="4.0999999999999996"/>
    <n v="14646.29"/>
    <n v="4"/>
    <x v="1"/>
  </r>
  <r>
    <n v="224"/>
    <n v="45"/>
    <s v="Female"/>
    <n v="3"/>
    <n v="2"/>
    <x v="1"/>
    <s v="Private"/>
    <n v="1.6"/>
    <n v="10559.54"/>
    <n v="5"/>
    <x v="1"/>
  </r>
  <r>
    <n v="225"/>
    <n v="45"/>
    <s v="Male"/>
    <n v="47"/>
    <n v="1"/>
    <x v="1"/>
    <s v="Private"/>
    <n v="3.4"/>
    <n v="38209.01"/>
    <n v="0"/>
    <x v="1"/>
  </r>
  <r>
    <n v="226"/>
    <n v="61"/>
    <s v="Male"/>
    <n v="23"/>
    <n v="14"/>
    <x v="0"/>
    <s v="Private"/>
    <n v="1.5"/>
    <n v="19633.759999999998"/>
    <n v="0"/>
    <x v="1"/>
  </r>
  <r>
    <n v="227"/>
    <n v="61"/>
    <s v="Male"/>
    <n v="46"/>
    <n v="4"/>
    <x v="1"/>
    <s v="Government"/>
    <n v="4"/>
    <n v="25808.14"/>
    <n v="8"/>
    <x v="1"/>
  </r>
  <r>
    <n v="228"/>
    <n v="37"/>
    <s v="Female"/>
    <n v="43"/>
    <n v="0"/>
    <x v="0"/>
    <s v="Private"/>
    <n v="3.6"/>
    <n v="24870.11"/>
    <n v="2"/>
    <x v="0"/>
  </r>
  <r>
    <n v="229"/>
    <n v="47"/>
    <s v="Female"/>
    <n v="47"/>
    <n v="3"/>
    <x v="1"/>
    <s v="Government"/>
    <n v="4.8"/>
    <n v="29075.31"/>
    <n v="3"/>
    <x v="1"/>
  </r>
  <r>
    <n v="230"/>
    <n v="79"/>
    <s v="Male"/>
    <n v="45"/>
    <n v="14"/>
    <x v="1"/>
    <s v="None"/>
    <n v="1.3"/>
    <n v="43346.07"/>
    <n v="0"/>
    <x v="1"/>
  </r>
  <r>
    <n v="231"/>
    <n v="28"/>
    <s v="Female"/>
    <n v="18"/>
    <n v="19"/>
    <x v="1"/>
    <s v="None"/>
    <n v="1.2"/>
    <n v="49046.6"/>
    <n v="8"/>
    <x v="1"/>
  </r>
  <r>
    <n v="232"/>
    <n v="75"/>
    <s v="Female"/>
    <n v="58"/>
    <n v="18"/>
    <x v="0"/>
    <s v="Private"/>
    <n v="2.1"/>
    <n v="20675.419999999998"/>
    <n v="7"/>
    <x v="1"/>
  </r>
  <r>
    <n v="233"/>
    <n v="72"/>
    <s v="Female"/>
    <n v="38"/>
    <n v="2"/>
    <x v="1"/>
    <s v="Government"/>
    <n v="2"/>
    <n v="41462.19"/>
    <n v="1"/>
    <x v="1"/>
  </r>
  <r>
    <n v="234"/>
    <n v="45"/>
    <s v="Female"/>
    <n v="35"/>
    <n v="19"/>
    <x v="0"/>
    <s v="None"/>
    <n v="2"/>
    <n v="38344.129999999997"/>
    <n v="7"/>
    <x v="0"/>
  </r>
  <r>
    <n v="235"/>
    <n v="42"/>
    <s v="Female"/>
    <n v="51"/>
    <n v="10"/>
    <x v="0"/>
    <s v="Government"/>
    <n v="4.5999999999999996"/>
    <n v="28889.68"/>
    <n v="6"/>
    <x v="0"/>
  </r>
  <r>
    <n v="236"/>
    <n v="56"/>
    <s v="Male"/>
    <n v="15"/>
    <n v="16"/>
    <x v="0"/>
    <s v="Government"/>
    <n v="2"/>
    <n v="47824.33"/>
    <n v="5"/>
    <x v="1"/>
  </r>
  <r>
    <n v="237"/>
    <n v="79"/>
    <s v="Male"/>
    <n v="25"/>
    <n v="12"/>
    <x v="0"/>
    <s v="Private"/>
    <n v="2.1"/>
    <n v="10423.49"/>
    <n v="0"/>
    <x v="0"/>
  </r>
  <r>
    <n v="238"/>
    <n v="50"/>
    <s v="Male"/>
    <n v="55"/>
    <n v="10"/>
    <x v="0"/>
    <s v="None"/>
    <n v="4"/>
    <n v="5908.58"/>
    <n v="6"/>
    <x v="0"/>
  </r>
  <r>
    <n v="239"/>
    <n v="18"/>
    <s v="Female"/>
    <n v="37"/>
    <n v="1"/>
    <x v="0"/>
    <s v="Private"/>
    <n v="2.8"/>
    <n v="42771.12"/>
    <n v="9"/>
    <x v="0"/>
  </r>
  <r>
    <n v="240"/>
    <n v="74"/>
    <s v="Female"/>
    <n v="28"/>
    <n v="8"/>
    <x v="0"/>
    <s v="Private"/>
    <n v="4.0999999999999996"/>
    <n v="22237.919999999998"/>
    <n v="6"/>
    <x v="0"/>
  </r>
  <r>
    <n v="241"/>
    <n v="44"/>
    <s v="Male"/>
    <n v="10"/>
    <n v="1"/>
    <x v="0"/>
    <s v="None"/>
    <n v="1.3"/>
    <n v="42424.959999999999"/>
    <n v="8"/>
    <x v="1"/>
  </r>
  <r>
    <n v="242"/>
    <n v="79"/>
    <s v="Female"/>
    <n v="39"/>
    <n v="8"/>
    <x v="0"/>
    <s v="None"/>
    <n v="3"/>
    <n v="44707.97"/>
    <n v="0"/>
    <x v="1"/>
  </r>
  <r>
    <n v="243"/>
    <n v="74"/>
    <s v="Male"/>
    <n v="57"/>
    <n v="8"/>
    <x v="1"/>
    <s v="Government"/>
    <n v="1.1000000000000001"/>
    <n v="3591.65"/>
    <n v="1"/>
    <x v="1"/>
  </r>
  <r>
    <n v="244"/>
    <n v="69"/>
    <s v="Male"/>
    <n v="17"/>
    <n v="7"/>
    <x v="1"/>
    <s v="None"/>
    <n v="1.3"/>
    <n v="44231.51"/>
    <n v="8"/>
    <x v="1"/>
  </r>
  <r>
    <n v="245"/>
    <n v="30"/>
    <s v="Male"/>
    <n v="39"/>
    <n v="16"/>
    <x v="1"/>
    <s v="Government"/>
    <n v="4.5999999999999996"/>
    <n v="22691.79"/>
    <n v="8"/>
    <x v="0"/>
  </r>
  <r>
    <n v="246"/>
    <n v="58"/>
    <s v="Female"/>
    <n v="22"/>
    <n v="0"/>
    <x v="1"/>
    <s v="Government"/>
    <n v="1.6"/>
    <n v="25766.41"/>
    <n v="5"/>
    <x v="1"/>
  </r>
  <r>
    <n v="247"/>
    <n v="20"/>
    <s v="Female"/>
    <n v="26"/>
    <n v="10"/>
    <x v="1"/>
    <s v="Government"/>
    <n v="3.1"/>
    <n v="31516.33"/>
    <n v="5"/>
    <x v="1"/>
  </r>
  <r>
    <n v="248"/>
    <n v="56"/>
    <s v="Male"/>
    <n v="44"/>
    <n v="7"/>
    <x v="0"/>
    <s v="None"/>
    <n v="2.6"/>
    <n v="46355.94"/>
    <n v="3"/>
    <x v="0"/>
  </r>
  <r>
    <n v="249"/>
    <n v="23"/>
    <s v="Male"/>
    <n v="25"/>
    <n v="9"/>
    <x v="0"/>
    <s v="Private"/>
    <n v="2.4"/>
    <n v="1446.25"/>
    <n v="3"/>
    <x v="0"/>
  </r>
  <r>
    <n v="250"/>
    <n v="25"/>
    <s v="Male"/>
    <n v="17"/>
    <n v="6"/>
    <x v="0"/>
    <s v="Government"/>
    <n v="4.5999999999999996"/>
    <n v="24103.75"/>
    <n v="4"/>
    <x v="0"/>
  </r>
  <r>
    <n v="251"/>
    <n v="44"/>
    <s v="Male"/>
    <n v="13"/>
    <n v="2"/>
    <x v="0"/>
    <s v="Private"/>
    <n v="1.1000000000000001"/>
    <n v="34542.239999999998"/>
    <n v="2"/>
    <x v="1"/>
  </r>
  <r>
    <n v="252"/>
    <n v="26"/>
    <s v="Female"/>
    <n v="20"/>
    <n v="2"/>
    <x v="0"/>
    <s v="Private"/>
    <n v="3.7"/>
    <n v="36273.99"/>
    <n v="0"/>
    <x v="1"/>
  </r>
  <r>
    <n v="253"/>
    <n v="79"/>
    <s v="Female"/>
    <n v="25"/>
    <n v="17"/>
    <x v="0"/>
    <s v="None"/>
    <n v="4.9000000000000004"/>
    <n v="34780.36"/>
    <n v="0"/>
    <x v="1"/>
  </r>
  <r>
    <n v="254"/>
    <n v="54"/>
    <s v="Male"/>
    <n v="4"/>
    <n v="4"/>
    <x v="0"/>
    <s v="Private"/>
    <n v="3.2"/>
    <n v="7154.54"/>
    <n v="6"/>
    <x v="1"/>
  </r>
  <r>
    <n v="255"/>
    <n v="50"/>
    <s v="Male"/>
    <n v="10"/>
    <n v="11"/>
    <x v="1"/>
    <s v="Private"/>
    <n v="4.7"/>
    <n v="15320.08"/>
    <n v="0"/>
    <x v="1"/>
  </r>
  <r>
    <n v="256"/>
    <n v="68"/>
    <s v="Female"/>
    <n v="3"/>
    <n v="11"/>
    <x v="1"/>
    <s v="None"/>
    <n v="1.2"/>
    <n v="18256.419999999998"/>
    <n v="0"/>
    <x v="1"/>
  </r>
  <r>
    <n v="257"/>
    <n v="59"/>
    <s v="Female"/>
    <n v="41"/>
    <n v="18"/>
    <x v="1"/>
    <s v="Government"/>
    <n v="2.7"/>
    <n v="40319.64"/>
    <n v="2"/>
    <x v="0"/>
  </r>
  <r>
    <n v="258"/>
    <n v="61"/>
    <s v="Male"/>
    <n v="45"/>
    <n v="5"/>
    <x v="1"/>
    <s v="Private"/>
    <n v="2"/>
    <n v="14298.61"/>
    <n v="9"/>
    <x v="1"/>
  </r>
  <r>
    <n v="259"/>
    <n v="41"/>
    <s v="Male"/>
    <n v="18"/>
    <n v="1"/>
    <x v="0"/>
    <s v="None"/>
    <n v="3.9"/>
    <n v="10929.9"/>
    <n v="3"/>
    <x v="1"/>
  </r>
  <r>
    <n v="260"/>
    <n v="32"/>
    <s v="Male"/>
    <n v="47"/>
    <n v="11"/>
    <x v="0"/>
    <s v="Private"/>
    <n v="4.9000000000000004"/>
    <n v="47893.68"/>
    <n v="3"/>
    <x v="1"/>
  </r>
  <r>
    <n v="261"/>
    <n v="76"/>
    <s v="Female"/>
    <n v="36"/>
    <n v="18"/>
    <x v="0"/>
    <s v="Private"/>
    <n v="2"/>
    <n v="938.73"/>
    <n v="1"/>
    <x v="1"/>
  </r>
  <r>
    <n v="262"/>
    <n v="71"/>
    <s v="Female"/>
    <n v="47"/>
    <n v="4"/>
    <x v="1"/>
    <s v="Government"/>
    <n v="3.6"/>
    <n v="49892.13"/>
    <n v="0"/>
    <x v="1"/>
  </r>
  <r>
    <n v="263"/>
    <n v="49"/>
    <s v="Female"/>
    <n v="22"/>
    <n v="11"/>
    <x v="0"/>
    <s v="Private"/>
    <n v="1.8"/>
    <n v="34002.65"/>
    <n v="2"/>
    <x v="0"/>
  </r>
  <r>
    <n v="264"/>
    <n v="49"/>
    <s v="Male"/>
    <n v="34"/>
    <n v="16"/>
    <x v="0"/>
    <s v="None"/>
    <n v="3.3"/>
    <n v="41509.230000000003"/>
    <n v="3"/>
    <x v="1"/>
  </r>
  <r>
    <n v="265"/>
    <n v="41"/>
    <s v="Male"/>
    <n v="47"/>
    <n v="16"/>
    <x v="0"/>
    <s v="Private"/>
    <n v="2.9"/>
    <n v="15083.66"/>
    <n v="2"/>
    <x v="0"/>
  </r>
  <r>
    <n v="266"/>
    <n v="58"/>
    <s v="Female"/>
    <n v="8"/>
    <n v="9"/>
    <x v="1"/>
    <s v="Government"/>
    <n v="4.9000000000000004"/>
    <n v="1208.6099999999999"/>
    <n v="7"/>
    <x v="1"/>
  </r>
  <r>
    <n v="267"/>
    <n v="69"/>
    <s v="Female"/>
    <n v="40"/>
    <n v="16"/>
    <x v="0"/>
    <s v="Government"/>
    <n v="3.4"/>
    <n v="37024.54"/>
    <n v="9"/>
    <x v="0"/>
  </r>
  <r>
    <n v="268"/>
    <n v="66"/>
    <s v="Male"/>
    <n v="49"/>
    <n v="14"/>
    <x v="1"/>
    <s v="None"/>
    <n v="2.4"/>
    <n v="41790.160000000003"/>
    <n v="0"/>
    <x v="1"/>
  </r>
  <r>
    <n v="269"/>
    <n v="79"/>
    <s v="Female"/>
    <n v="44"/>
    <n v="11"/>
    <x v="1"/>
    <s v="Government"/>
    <n v="1.5"/>
    <n v="37153.57"/>
    <n v="1"/>
    <x v="1"/>
  </r>
  <r>
    <n v="270"/>
    <n v="66"/>
    <s v="Female"/>
    <n v="19"/>
    <n v="15"/>
    <x v="1"/>
    <s v="Private"/>
    <n v="1.6"/>
    <n v="7571.09"/>
    <n v="6"/>
    <x v="1"/>
  </r>
  <r>
    <n v="271"/>
    <n v="75"/>
    <s v="Male"/>
    <n v="42"/>
    <n v="18"/>
    <x v="1"/>
    <s v="Government"/>
    <n v="1.9"/>
    <n v="37794.68"/>
    <n v="3"/>
    <x v="0"/>
  </r>
  <r>
    <n v="272"/>
    <n v="69"/>
    <s v="Female"/>
    <n v="41"/>
    <n v="7"/>
    <x v="0"/>
    <s v="None"/>
    <n v="2"/>
    <n v="38561.68"/>
    <n v="7"/>
    <x v="1"/>
  </r>
  <r>
    <n v="273"/>
    <n v="29"/>
    <s v="Male"/>
    <n v="37"/>
    <n v="16"/>
    <x v="1"/>
    <s v="Government"/>
    <n v="4.4000000000000004"/>
    <n v="33097.760000000002"/>
    <n v="2"/>
    <x v="1"/>
  </r>
  <r>
    <n v="274"/>
    <n v="79"/>
    <s v="Male"/>
    <n v="6"/>
    <n v="4"/>
    <x v="1"/>
    <s v="Government"/>
    <n v="3.2"/>
    <n v="38422.74"/>
    <n v="5"/>
    <x v="0"/>
  </r>
  <r>
    <n v="275"/>
    <n v="56"/>
    <s v="Male"/>
    <n v="52"/>
    <n v="15"/>
    <x v="0"/>
    <s v="Government"/>
    <n v="3.1"/>
    <n v="42373.11"/>
    <n v="8"/>
    <x v="0"/>
  </r>
  <r>
    <n v="276"/>
    <n v="19"/>
    <s v="Male"/>
    <n v="26"/>
    <n v="5"/>
    <x v="0"/>
    <s v="None"/>
    <n v="1.5"/>
    <n v="30873.4"/>
    <n v="0"/>
    <x v="1"/>
  </r>
  <r>
    <n v="277"/>
    <n v="20"/>
    <s v="Male"/>
    <n v="34"/>
    <n v="7"/>
    <x v="1"/>
    <s v="Government"/>
    <n v="4.4000000000000004"/>
    <n v="4885.93"/>
    <n v="0"/>
    <x v="1"/>
  </r>
  <r>
    <n v="278"/>
    <n v="66"/>
    <s v="Male"/>
    <n v="59"/>
    <n v="17"/>
    <x v="0"/>
    <s v="Government"/>
    <n v="3.9"/>
    <n v="24637.58"/>
    <n v="7"/>
    <x v="1"/>
  </r>
  <r>
    <n v="279"/>
    <n v="54"/>
    <s v="Male"/>
    <n v="56"/>
    <n v="11"/>
    <x v="1"/>
    <s v="Private"/>
    <n v="1.3"/>
    <n v="4343.6400000000003"/>
    <n v="2"/>
    <x v="1"/>
  </r>
  <r>
    <n v="280"/>
    <n v="66"/>
    <s v="Female"/>
    <n v="59"/>
    <n v="14"/>
    <x v="1"/>
    <s v="None"/>
    <n v="3.8"/>
    <n v="20673.38"/>
    <n v="4"/>
    <x v="1"/>
  </r>
  <r>
    <n v="281"/>
    <n v="73"/>
    <s v="Male"/>
    <n v="45"/>
    <n v="8"/>
    <x v="1"/>
    <s v="Government"/>
    <n v="3.2"/>
    <n v="20651.77"/>
    <n v="0"/>
    <x v="0"/>
  </r>
  <r>
    <n v="282"/>
    <n v="34"/>
    <s v="Male"/>
    <n v="6"/>
    <n v="12"/>
    <x v="1"/>
    <s v="None"/>
    <n v="1.3"/>
    <n v="3767.49"/>
    <n v="4"/>
    <x v="0"/>
  </r>
  <r>
    <n v="283"/>
    <n v="76"/>
    <s v="Female"/>
    <n v="37"/>
    <n v="14"/>
    <x v="0"/>
    <s v="Government"/>
    <n v="2.8"/>
    <n v="17766.62"/>
    <n v="5"/>
    <x v="1"/>
  </r>
  <r>
    <n v="284"/>
    <n v="66"/>
    <s v="Female"/>
    <n v="57"/>
    <n v="9"/>
    <x v="1"/>
    <s v="Government"/>
    <n v="2.9"/>
    <n v="5994.41"/>
    <n v="7"/>
    <x v="1"/>
  </r>
  <r>
    <n v="285"/>
    <n v="19"/>
    <s v="Female"/>
    <n v="33"/>
    <n v="15"/>
    <x v="0"/>
    <s v="Government"/>
    <n v="1.7"/>
    <n v="40507.64"/>
    <n v="2"/>
    <x v="1"/>
  </r>
  <r>
    <n v="286"/>
    <n v="19"/>
    <s v="Male"/>
    <n v="53"/>
    <n v="6"/>
    <x v="0"/>
    <s v="Private"/>
    <n v="4.8"/>
    <n v="47410.559999999998"/>
    <n v="2"/>
    <x v="0"/>
  </r>
  <r>
    <n v="287"/>
    <n v="45"/>
    <s v="Female"/>
    <n v="22"/>
    <n v="16"/>
    <x v="0"/>
    <s v="Private"/>
    <n v="4.4000000000000004"/>
    <n v="4079.67"/>
    <n v="9"/>
    <x v="0"/>
  </r>
  <r>
    <n v="288"/>
    <n v="71"/>
    <s v="Male"/>
    <n v="21"/>
    <n v="6"/>
    <x v="0"/>
    <s v="Private"/>
    <n v="3.7"/>
    <n v="47778.2"/>
    <n v="8"/>
    <x v="1"/>
  </r>
  <r>
    <n v="289"/>
    <n v="40"/>
    <s v="Male"/>
    <n v="6"/>
    <n v="13"/>
    <x v="1"/>
    <s v="None"/>
    <n v="2.8"/>
    <n v="26367.54"/>
    <n v="3"/>
    <x v="0"/>
  </r>
  <r>
    <n v="290"/>
    <n v="54"/>
    <s v="Male"/>
    <n v="6"/>
    <n v="14"/>
    <x v="0"/>
    <s v="None"/>
    <n v="2.6"/>
    <n v="15328.5"/>
    <n v="3"/>
    <x v="1"/>
  </r>
  <r>
    <n v="291"/>
    <n v="49"/>
    <s v="Male"/>
    <n v="55"/>
    <n v="6"/>
    <x v="1"/>
    <s v="Private"/>
    <n v="3.6"/>
    <n v="4304.67"/>
    <n v="6"/>
    <x v="1"/>
  </r>
  <r>
    <n v="292"/>
    <n v="50"/>
    <s v="Female"/>
    <n v="48"/>
    <n v="8"/>
    <x v="0"/>
    <s v="None"/>
    <n v="3.2"/>
    <n v="25280.9"/>
    <n v="1"/>
    <x v="1"/>
  </r>
  <r>
    <n v="293"/>
    <n v="18"/>
    <s v="Female"/>
    <n v="4"/>
    <n v="18"/>
    <x v="0"/>
    <s v="Government"/>
    <n v="1.2"/>
    <n v="39828.519999999997"/>
    <n v="7"/>
    <x v="1"/>
  </r>
  <r>
    <n v="294"/>
    <n v="36"/>
    <s v="Male"/>
    <n v="30"/>
    <n v="15"/>
    <x v="1"/>
    <s v="Government"/>
    <n v="3.1"/>
    <n v="35500.78"/>
    <n v="5"/>
    <x v="1"/>
  </r>
  <r>
    <n v="295"/>
    <n v="79"/>
    <s v="Male"/>
    <n v="11"/>
    <n v="7"/>
    <x v="1"/>
    <s v="Government"/>
    <n v="4.2"/>
    <n v="2986.19"/>
    <n v="2"/>
    <x v="1"/>
  </r>
  <r>
    <n v="296"/>
    <n v="19"/>
    <s v="Male"/>
    <n v="30"/>
    <n v="17"/>
    <x v="1"/>
    <s v="Private"/>
    <n v="2.8"/>
    <n v="4108.6400000000003"/>
    <n v="8"/>
    <x v="1"/>
  </r>
  <r>
    <n v="297"/>
    <n v="70"/>
    <s v="Female"/>
    <n v="31"/>
    <n v="17"/>
    <x v="0"/>
    <s v="None"/>
    <n v="1.2"/>
    <n v="20442.23"/>
    <n v="4"/>
    <x v="0"/>
  </r>
  <r>
    <n v="298"/>
    <n v="61"/>
    <s v="Male"/>
    <n v="24"/>
    <n v="19"/>
    <x v="0"/>
    <s v="Private"/>
    <n v="4.0999999999999996"/>
    <n v="15116.88"/>
    <n v="7"/>
    <x v="1"/>
  </r>
  <r>
    <n v="299"/>
    <n v="43"/>
    <s v="Male"/>
    <n v="55"/>
    <n v="6"/>
    <x v="1"/>
    <s v="None"/>
    <n v="1.8"/>
    <n v="12003.02"/>
    <n v="6"/>
    <x v="1"/>
  </r>
  <r>
    <n v="300"/>
    <n v="49"/>
    <s v="Female"/>
    <n v="9"/>
    <n v="2"/>
    <x v="1"/>
    <s v="Government"/>
    <n v="2"/>
    <n v="14409.72"/>
    <n v="7"/>
    <x v="1"/>
  </r>
  <r>
    <n v="301"/>
    <n v="23"/>
    <s v="Female"/>
    <n v="55"/>
    <n v="17"/>
    <x v="1"/>
    <s v="Private"/>
    <n v="1.7"/>
    <n v="40272.400000000001"/>
    <n v="6"/>
    <x v="1"/>
  </r>
  <r>
    <n v="302"/>
    <n v="49"/>
    <s v="Male"/>
    <n v="3"/>
    <n v="9"/>
    <x v="1"/>
    <s v="None"/>
    <n v="2.2999999999999998"/>
    <n v="46496.79"/>
    <n v="2"/>
    <x v="1"/>
  </r>
  <r>
    <n v="303"/>
    <n v="72"/>
    <s v="Female"/>
    <n v="51"/>
    <n v="6"/>
    <x v="0"/>
    <s v="None"/>
    <n v="4"/>
    <n v="20552.580000000002"/>
    <n v="1"/>
    <x v="1"/>
  </r>
  <r>
    <n v="304"/>
    <n v="21"/>
    <s v="Female"/>
    <n v="31"/>
    <n v="16"/>
    <x v="1"/>
    <s v="Government"/>
    <n v="3.1"/>
    <n v="45352.49"/>
    <n v="6"/>
    <x v="1"/>
  </r>
  <r>
    <n v="305"/>
    <n v="72"/>
    <s v="Male"/>
    <n v="40"/>
    <n v="13"/>
    <x v="1"/>
    <s v="Private"/>
    <n v="1.8"/>
    <n v="16414.04"/>
    <n v="2"/>
    <x v="1"/>
  </r>
  <r>
    <n v="306"/>
    <n v="28"/>
    <s v="Female"/>
    <n v="37"/>
    <n v="2"/>
    <x v="1"/>
    <s v="Private"/>
    <n v="4.5"/>
    <n v="24083.63"/>
    <n v="2"/>
    <x v="1"/>
  </r>
  <r>
    <n v="307"/>
    <n v="73"/>
    <s v="Male"/>
    <n v="36"/>
    <n v="11"/>
    <x v="1"/>
    <s v="Private"/>
    <n v="4.5"/>
    <n v="11688.44"/>
    <n v="1"/>
    <x v="1"/>
  </r>
  <r>
    <n v="308"/>
    <n v="76"/>
    <s v="Female"/>
    <n v="24"/>
    <n v="12"/>
    <x v="0"/>
    <s v="Government"/>
    <n v="4.5"/>
    <n v="32203.56"/>
    <n v="3"/>
    <x v="1"/>
  </r>
  <r>
    <n v="309"/>
    <n v="34"/>
    <s v="Male"/>
    <n v="31"/>
    <n v="1"/>
    <x v="1"/>
    <s v="Private"/>
    <n v="2"/>
    <n v="48959.57"/>
    <n v="7"/>
    <x v="1"/>
  </r>
  <r>
    <n v="310"/>
    <n v="55"/>
    <s v="Male"/>
    <n v="6"/>
    <n v="2"/>
    <x v="0"/>
    <s v="Government"/>
    <n v="2.8"/>
    <n v="30372.91"/>
    <n v="0"/>
    <x v="1"/>
  </r>
  <r>
    <n v="311"/>
    <n v="41"/>
    <s v="Male"/>
    <n v="2"/>
    <n v="4"/>
    <x v="1"/>
    <s v="Government"/>
    <n v="4.9000000000000004"/>
    <n v="18211.8"/>
    <n v="0"/>
    <x v="0"/>
  </r>
  <r>
    <n v="312"/>
    <n v="22"/>
    <s v="Female"/>
    <n v="20"/>
    <n v="10"/>
    <x v="1"/>
    <s v="Government"/>
    <n v="4.0999999999999996"/>
    <n v="32566.959999999999"/>
    <n v="4"/>
    <x v="1"/>
  </r>
  <r>
    <n v="313"/>
    <n v="69"/>
    <s v="Male"/>
    <n v="28"/>
    <n v="7"/>
    <x v="0"/>
    <s v="None"/>
    <n v="1.1000000000000001"/>
    <n v="6584.57"/>
    <n v="4"/>
    <x v="1"/>
  </r>
  <r>
    <n v="314"/>
    <n v="51"/>
    <s v="Female"/>
    <n v="11"/>
    <n v="11"/>
    <x v="1"/>
    <s v="Private"/>
    <n v="1.3"/>
    <n v="44488.62"/>
    <n v="0"/>
    <x v="0"/>
  </r>
  <r>
    <n v="315"/>
    <n v="23"/>
    <s v="Male"/>
    <n v="4"/>
    <n v="6"/>
    <x v="0"/>
    <s v="Private"/>
    <n v="2.9"/>
    <n v="25402.66"/>
    <n v="5"/>
    <x v="1"/>
  </r>
  <r>
    <n v="316"/>
    <n v="39"/>
    <s v="Male"/>
    <n v="15"/>
    <n v="14"/>
    <x v="0"/>
    <s v="Government"/>
    <n v="4.5999999999999996"/>
    <n v="22742.81"/>
    <n v="0"/>
    <x v="1"/>
  </r>
  <r>
    <n v="317"/>
    <n v="28"/>
    <s v="Female"/>
    <n v="6"/>
    <n v="16"/>
    <x v="1"/>
    <s v="Government"/>
    <n v="3.2"/>
    <n v="29500.31"/>
    <n v="4"/>
    <x v="0"/>
  </r>
  <r>
    <n v="318"/>
    <n v="65"/>
    <s v="Male"/>
    <n v="54"/>
    <n v="3"/>
    <x v="0"/>
    <s v="Private"/>
    <n v="3"/>
    <n v="31426.799999999999"/>
    <n v="8"/>
    <x v="0"/>
  </r>
  <r>
    <n v="319"/>
    <n v="33"/>
    <s v="Male"/>
    <n v="49"/>
    <n v="12"/>
    <x v="0"/>
    <s v="Government"/>
    <n v="1.4"/>
    <n v="4052.9"/>
    <n v="4"/>
    <x v="0"/>
  </r>
  <r>
    <n v="320"/>
    <n v="50"/>
    <s v="Female"/>
    <n v="30"/>
    <n v="17"/>
    <x v="0"/>
    <s v="Private"/>
    <n v="3.6"/>
    <n v="34289.550000000003"/>
    <n v="5"/>
    <x v="1"/>
  </r>
  <r>
    <n v="321"/>
    <n v="26"/>
    <s v="Male"/>
    <n v="56"/>
    <n v="0"/>
    <x v="0"/>
    <s v="None"/>
    <n v="4.3"/>
    <n v="12475.62"/>
    <n v="7"/>
    <x v="1"/>
  </r>
  <r>
    <n v="322"/>
    <n v="77"/>
    <s v="Male"/>
    <n v="38"/>
    <n v="15"/>
    <x v="0"/>
    <s v="Government"/>
    <n v="2.5"/>
    <n v="35840.660000000003"/>
    <n v="0"/>
    <x v="1"/>
  </r>
  <r>
    <n v="323"/>
    <n v="76"/>
    <s v="Male"/>
    <n v="51"/>
    <n v="12"/>
    <x v="0"/>
    <s v="Private"/>
    <n v="4.0999999999999996"/>
    <n v="41215.47"/>
    <n v="1"/>
    <x v="1"/>
  </r>
  <r>
    <n v="324"/>
    <n v="23"/>
    <s v="Male"/>
    <n v="57"/>
    <n v="9"/>
    <x v="0"/>
    <s v="Government"/>
    <n v="4.9000000000000004"/>
    <n v="40295.949999999997"/>
    <n v="8"/>
    <x v="1"/>
  </r>
  <r>
    <n v="325"/>
    <n v="33"/>
    <s v="Female"/>
    <n v="2"/>
    <n v="11"/>
    <x v="0"/>
    <s v="Private"/>
    <n v="1.8"/>
    <n v="27848.799999999999"/>
    <n v="2"/>
    <x v="1"/>
  </r>
  <r>
    <n v="326"/>
    <n v="46"/>
    <s v="Female"/>
    <n v="15"/>
    <n v="1"/>
    <x v="1"/>
    <s v="Private"/>
    <n v="3.1"/>
    <n v="26248.41"/>
    <n v="5"/>
    <x v="0"/>
  </r>
  <r>
    <n v="327"/>
    <n v="20"/>
    <s v="Male"/>
    <n v="11"/>
    <n v="2"/>
    <x v="1"/>
    <s v="Government"/>
    <n v="2.1"/>
    <n v="7572.36"/>
    <n v="4"/>
    <x v="1"/>
  </r>
  <r>
    <n v="328"/>
    <n v="37"/>
    <s v="Female"/>
    <n v="8"/>
    <n v="9"/>
    <x v="0"/>
    <s v="None"/>
    <n v="4.2"/>
    <n v="38879.629999999997"/>
    <n v="1"/>
    <x v="1"/>
  </r>
  <r>
    <n v="329"/>
    <n v="77"/>
    <s v="Male"/>
    <n v="26"/>
    <n v="1"/>
    <x v="1"/>
    <s v="Private"/>
    <n v="3.3"/>
    <n v="13934.76"/>
    <n v="6"/>
    <x v="1"/>
  </r>
  <r>
    <n v="330"/>
    <n v="76"/>
    <s v="Female"/>
    <n v="51"/>
    <n v="12"/>
    <x v="0"/>
    <s v="Private"/>
    <n v="3.5"/>
    <n v="25086.42"/>
    <n v="3"/>
    <x v="1"/>
  </r>
  <r>
    <n v="331"/>
    <n v="53"/>
    <s v="Male"/>
    <n v="45"/>
    <n v="12"/>
    <x v="0"/>
    <s v="Private"/>
    <n v="4.2"/>
    <n v="14571.57"/>
    <n v="0"/>
    <x v="1"/>
  </r>
  <r>
    <n v="332"/>
    <n v="36"/>
    <s v="Male"/>
    <n v="44"/>
    <n v="17"/>
    <x v="1"/>
    <s v="None"/>
    <n v="2.6"/>
    <n v="7124.5"/>
    <n v="3"/>
    <x v="1"/>
  </r>
  <r>
    <n v="333"/>
    <n v="43"/>
    <s v="Male"/>
    <n v="5"/>
    <n v="2"/>
    <x v="0"/>
    <s v="None"/>
    <n v="4.7"/>
    <n v="31663.11"/>
    <n v="5"/>
    <x v="1"/>
  </r>
  <r>
    <n v="334"/>
    <n v="20"/>
    <s v="Male"/>
    <n v="6"/>
    <n v="6"/>
    <x v="0"/>
    <s v="Government"/>
    <n v="3.1"/>
    <n v="3189.44"/>
    <n v="6"/>
    <x v="1"/>
  </r>
  <r>
    <n v="335"/>
    <n v="36"/>
    <s v="Male"/>
    <n v="26"/>
    <n v="13"/>
    <x v="0"/>
    <s v="None"/>
    <n v="1.6"/>
    <n v="37557.94"/>
    <n v="6"/>
    <x v="0"/>
  </r>
  <r>
    <n v="336"/>
    <n v="37"/>
    <s v="Male"/>
    <n v="54"/>
    <n v="19"/>
    <x v="0"/>
    <s v="Government"/>
    <n v="3.8"/>
    <n v="16220.55"/>
    <n v="6"/>
    <x v="0"/>
  </r>
  <r>
    <n v="337"/>
    <n v="49"/>
    <s v="Female"/>
    <n v="4"/>
    <n v="16"/>
    <x v="1"/>
    <s v="Government"/>
    <n v="4.2"/>
    <n v="506.67"/>
    <n v="2"/>
    <x v="1"/>
  </r>
  <r>
    <n v="338"/>
    <n v="24"/>
    <s v="Male"/>
    <n v="19"/>
    <n v="11"/>
    <x v="0"/>
    <s v="None"/>
    <n v="2.2999999999999998"/>
    <n v="25800.89"/>
    <n v="5"/>
    <x v="1"/>
  </r>
  <r>
    <n v="339"/>
    <n v="69"/>
    <s v="Female"/>
    <n v="20"/>
    <n v="15"/>
    <x v="0"/>
    <s v="Government"/>
    <n v="4.4000000000000004"/>
    <n v="2819.17"/>
    <n v="7"/>
    <x v="0"/>
  </r>
  <r>
    <n v="340"/>
    <n v="58"/>
    <s v="Male"/>
    <n v="33"/>
    <n v="11"/>
    <x v="0"/>
    <s v="None"/>
    <n v="4.5999999999999996"/>
    <n v="14170.39"/>
    <n v="3"/>
    <x v="0"/>
  </r>
  <r>
    <n v="341"/>
    <n v="50"/>
    <s v="Female"/>
    <n v="20"/>
    <n v="14"/>
    <x v="1"/>
    <s v="Government"/>
    <n v="2.1"/>
    <n v="35495.339999999997"/>
    <n v="7"/>
    <x v="1"/>
  </r>
  <r>
    <n v="342"/>
    <n v="57"/>
    <s v="Female"/>
    <n v="49"/>
    <n v="9"/>
    <x v="0"/>
    <s v="None"/>
    <n v="4.9000000000000004"/>
    <n v="3603.14"/>
    <n v="1"/>
    <x v="1"/>
  </r>
  <r>
    <n v="343"/>
    <n v="56"/>
    <s v="Female"/>
    <n v="12"/>
    <n v="6"/>
    <x v="1"/>
    <s v="None"/>
    <n v="1.6"/>
    <n v="42047.26"/>
    <n v="9"/>
    <x v="1"/>
  </r>
  <r>
    <n v="344"/>
    <n v="35"/>
    <s v="Male"/>
    <n v="47"/>
    <n v="19"/>
    <x v="1"/>
    <s v="Government"/>
    <n v="1.8"/>
    <n v="689.09"/>
    <n v="8"/>
    <x v="0"/>
  </r>
  <r>
    <n v="345"/>
    <n v="57"/>
    <s v="Male"/>
    <n v="1"/>
    <n v="4"/>
    <x v="0"/>
    <s v="Private"/>
    <n v="1.7"/>
    <n v="12717.78"/>
    <n v="8"/>
    <x v="0"/>
  </r>
  <r>
    <n v="346"/>
    <n v="18"/>
    <s v="Female"/>
    <n v="26"/>
    <n v="0"/>
    <x v="0"/>
    <s v="Government"/>
    <n v="4.5999999999999996"/>
    <n v="37174.75"/>
    <n v="7"/>
    <x v="1"/>
  </r>
  <r>
    <n v="347"/>
    <n v="28"/>
    <s v="Male"/>
    <n v="14"/>
    <n v="16"/>
    <x v="1"/>
    <s v="None"/>
    <n v="3.6"/>
    <n v="16155.37"/>
    <n v="9"/>
    <x v="0"/>
  </r>
  <r>
    <n v="348"/>
    <n v="45"/>
    <s v="Female"/>
    <n v="38"/>
    <n v="2"/>
    <x v="0"/>
    <s v="Private"/>
    <n v="1.6"/>
    <n v="5543.67"/>
    <n v="9"/>
    <x v="1"/>
  </r>
  <r>
    <n v="349"/>
    <n v="74"/>
    <s v="Male"/>
    <n v="37"/>
    <n v="12"/>
    <x v="1"/>
    <s v="Government"/>
    <n v="2.8"/>
    <n v="18331.580000000002"/>
    <n v="0"/>
    <x v="0"/>
  </r>
  <r>
    <n v="350"/>
    <n v="42"/>
    <s v="Female"/>
    <n v="11"/>
    <n v="13"/>
    <x v="1"/>
    <s v="Government"/>
    <n v="3.5"/>
    <n v="13884.47"/>
    <n v="1"/>
    <x v="1"/>
  </r>
  <r>
    <n v="351"/>
    <n v="67"/>
    <s v="Female"/>
    <n v="36"/>
    <n v="17"/>
    <x v="0"/>
    <s v="Government"/>
    <n v="1.3"/>
    <n v="42214.239999999998"/>
    <n v="5"/>
    <x v="0"/>
  </r>
  <r>
    <n v="352"/>
    <n v="40"/>
    <s v="Male"/>
    <n v="13"/>
    <n v="3"/>
    <x v="0"/>
    <s v="Private"/>
    <n v="4.5"/>
    <n v="16010.72"/>
    <n v="9"/>
    <x v="1"/>
  </r>
  <r>
    <n v="353"/>
    <n v="48"/>
    <s v="Female"/>
    <n v="43"/>
    <n v="17"/>
    <x v="1"/>
    <s v="None"/>
    <n v="4.2"/>
    <n v="39552.160000000003"/>
    <n v="4"/>
    <x v="1"/>
  </r>
  <r>
    <n v="354"/>
    <n v="47"/>
    <s v="Male"/>
    <n v="3"/>
    <n v="4"/>
    <x v="1"/>
    <s v="Government"/>
    <n v="3"/>
    <n v="44647.67"/>
    <n v="8"/>
    <x v="1"/>
  </r>
  <r>
    <n v="355"/>
    <n v="59"/>
    <s v="Female"/>
    <n v="33"/>
    <n v="15"/>
    <x v="1"/>
    <s v="Government"/>
    <n v="4.9000000000000004"/>
    <n v="21973.96"/>
    <n v="4"/>
    <x v="0"/>
  </r>
  <r>
    <n v="356"/>
    <n v="52"/>
    <s v="Female"/>
    <n v="6"/>
    <n v="0"/>
    <x v="1"/>
    <s v="Government"/>
    <n v="2.7"/>
    <n v="45542.19"/>
    <n v="1"/>
    <x v="0"/>
  </r>
  <r>
    <n v="357"/>
    <n v="24"/>
    <s v="Male"/>
    <n v="50"/>
    <n v="13"/>
    <x v="0"/>
    <s v="Government"/>
    <n v="4.9000000000000004"/>
    <n v="19177.240000000002"/>
    <n v="9"/>
    <x v="0"/>
  </r>
  <r>
    <n v="358"/>
    <n v="77"/>
    <s v="Male"/>
    <n v="56"/>
    <n v="14"/>
    <x v="0"/>
    <s v="Government"/>
    <n v="3.7"/>
    <n v="48221.88"/>
    <n v="3"/>
    <x v="0"/>
  </r>
  <r>
    <n v="359"/>
    <n v="33"/>
    <s v="Male"/>
    <n v="10"/>
    <n v="8"/>
    <x v="0"/>
    <s v="None"/>
    <n v="3.5"/>
    <n v="4919.83"/>
    <n v="8"/>
    <x v="1"/>
  </r>
  <r>
    <n v="360"/>
    <n v="43"/>
    <s v="Female"/>
    <n v="5"/>
    <n v="14"/>
    <x v="0"/>
    <s v="None"/>
    <n v="1.7"/>
    <n v="34507.449999999997"/>
    <n v="0"/>
    <x v="1"/>
  </r>
  <r>
    <n v="361"/>
    <n v="65"/>
    <s v="Male"/>
    <n v="23"/>
    <n v="16"/>
    <x v="0"/>
    <s v="Government"/>
    <n v="4.5"/>
    <n v="24943.8"/>
    <n v="0"/>
    <x v="1"/>
  </r>
  <r>
    <n v="362"/>
    <n v="74"/>
    <s v="Female"/>
    <n v="10"/>
    <n v="3"/>
    <x v="1"/>
    <s v="Private"/>
    <n v="2.7"/>
    <n v="19688.62"/>
    <n v="6"/>
    <x v="1"/>
  </r>
  <r>
    <n v="363"/>
    <n v="69"/>
    <s v="Female"/>
    <n v="44"/>
    <n v="11"/>
    <x v="0"/>
    <s v="None"/>
    <n v="1.6"/>
    <n v="31819.24"/>
    <n v="2"/>
    <x v="1"/>
  </r>
  <r>
    <n v="364"/>
    <n v="77"/>
    <s v="Male"/>
    <n v="2"/>
    <n v="4"/>
    <x v="0"/>
    <s v="Private"/>
    <n v="1.1000000000000001"/>
    <n v="35340.93"/>
    <n v="9"/>
    <x v="1"/>
  </r>
  <r>
    <n v="365"/>
    <n v="66"/>
    <s v="Male"/>
    <n v="13"/>
    <n v="4"/>
    <x v="0"/>
    <s v="None"/>
    <n v="3.2"/>
    <n v="715.98"/>
    <n v="1"/>
    <x v="1"/>
  </r>
  <r>
    <n v="366"/>
    <n v="19"/>
    <s v="Female"/>
    <n v="40"/>
    <n v="10"/>
    <x v="0"/>
    <s v="Government"/>
    <n v="3.1"/>
    <n v="8764.18"/>
    <n v="8"/>
    <x v="1"/>
  </r>
  <r>
    <n v="367"/>
    <n v="18"/>
    <s v="Female"/>
    <n v="2"/>
    <n v="5"/>
    <x v="0"/>
    <s v="None"/>
    <n v="3.9"/>
    <n v="35795.78"/>
    <n v="2"/>
    <x v="1"/>
  </r>
  <r>
    <n v="368"/>
    <n v="65"/>
    <s v="Male"/>
    <n v="20"/>
    <n v="6"/>
    <x v="1"/>
    <s v="Government"/>
    <n v="4.5999999999999996"/>
    <n v="33486.080000000002"/>
    <n v="1"/>
    <x v="1"/>
  </r>
  <r>
    <n v="369"/>
    <n v="79"/>
    <s v="Male"/>
    <n v="1"/>
    <n v="13"/>
    <x v="1"/>
    <s v="None"/>
    <n v="1.3"/>
    <n v="48319.35"/>
    <n v="7"/>
    <x v="0"/>
  </r>
  <r>
    <n v="370"/>
    <n v="29"/>
    <s v="Male"/>
    <n v="37"/>
    <n v="10"/>
    <x v="1"/>
    <s v="Government"/>
    <n v="3.9"/>
    <n v="38171.370000000003"/>
    <n v="9"/>
    <x v="0"/>
  </r>
  <r>
    <n v="371"/>
    <n v="22"/>
    <s v="Male"/>
    <n v="9"/>
    <n v="12"/>
    <x v="0"/>
    <s v="Government"/>
    <n v="1.7"/>
    <n v="47563.25"/>
    <n v="5"/>
    <x v="0"/>
  </r>
  <r>
    <n v="372"/>
    <n v="54"/>
    <s v="Male"/>
    <n v="17"/>
    <n v="1"/>
    <x v="1"/>
    <s v="Government"/>
    <n v="4.4000000000000004"/>
    <n v="35275.75"/>
    <n v="5"/>
    <x v="1"/>
  </r>
  <r>
    <n v="373"/>
    <n v="49"/>
    <s v="Female"/>
    <n v="9"/>
    <n v="6"/>
    <x v="1"/>
    <s v="Government"/>
    <n v="4.3"/>
    <n v="15253.58"/>
    <n v="9"/>
    <x v="1"/>
  </r>
  <r>
    <n v="374"/>
    <n v="76"/>
    <s v="Female"/>
    <n v="11"/>
    <n v="19"/>
    <x v="0"/>
    <s v="Private"/>
    <n v="3.2"/>
    <n v="5715.56"/>
    <n v="6"/>
    <x v="0"/>
  </r>
  <r>
    <n v="375"/>
    <n v="72"/>
    <s v="Female"/>
    <n v="15"/>
    <n v="3"/>
    <x v="0"/>
    <s v="Government"/>
    <n v="3.8"/>
    <n v="39200.28"/>
    <n v="6"/>
    <x v="1"/>
  </r>
  <r>
    <n v="376"/>
    <n v="26"/>
    <s v="Female"/>
    <n v="24"/>
    <n v="7"/>
    <x v="0"/>
    <s v="Private"/>
    <n v="2.2999999999999998"/>
    <n v="32385.39"/>
    <n v="5"/>
    <x v="1"/>
  </r>
  <r>
    <n v="377"/>
    <n v="58"/>
    <s v="Male"/>
    <n v="38"/>
    <n v="19"/>
    <x v="1"/>
    <s v="Private"/>
    <n v="2.9"/>
    <n v="2885.21"/>
    <n v="3"/>
    <x v="1"/>
  </r>
  <r>
    <n v="378"/>
    <n v="52"/>
    <s v="Male"/>
    <n v="55"/>
    <n v="18"/>
    <x v="1"/>
    <s v="Government"/>
    <n v="4.3"/>
    <n v="18322.5"/>
    <n v="8"/>
    <x v="1"/>
  </r>
  <r>
    <n v="379"/>
    <n v="36"/>
    <s v="Male"/>
    <n v="35"/>
    <n v="12"/>
    <x v="0"/>
    <s v="Private"/>
    <n v="2.8"/>
    <n v="47861.59"/>
    <n v="5"/>
    <x v="1"/>
  </r>
  <r>
    <n v="380"/>
    <n v="65"/>
    <s v="Female"/>
    <n v="30"/>
    <n v="13"/>
    <x v="0"/>
    <s v="None"/>
    <n v="2.4"/>
    <n v="25269.86"/>
    <n v="3"/>
    <x v="1"/>
  </r>
  <r>
    <n v="381"/>
    <n v="33"/>
    <s v="Female"/>
    <n v="31"/>
    <n v="9"/>
    <x v="1"/>
    <s v="Government"/>
    <n v="3"/>
    <n v="21920.09"/>
    <n v="2"/>
    <x v="1"/>
  </r>
  <r>
    <n v="382"/>
    <n v="20"/>
    <s v="Male"/>
    <n v="49"/>
    <n v="10"/>
    <x v="1"/>
    <s v="Private"/>
    <n v="4.3"/>
    <n v="23156.13"/>
    <n v="3"/>
    <x v="1"/>
  </r>
  <r>
    <n v="383"/>
    <n v="37"/>
    <s v="Male"/>
    <n v="5"/>
    <n v="1"/>
    <x v="0"/>
    <s v="Government"/>
    <n v="2.2999999999999998"/>
    <n v="10839.69"/>
    <n v="2"/>
    <x v="1"/>
  </r>
  <r>
    <n v="384"/>
    <n v="41"/>
    <s v="Female"/>
    <n v="44"/>
    <n v="8"/>
    <x v="0"/>
    <s v="Government"/>
    <n v="1.7"/>
    <n v="18751"/>
    <n v="1"/>
    <x v="0"/>
  </r>
  <r>
    <n v="385"/>
    <n v="71"/>
    <s v="Female"/>
    <n v="50"/>
    <n v="16"/>
    <x v="1"/>
    <s v="Government"/>
    <n v="3.8"/>
    <n v="18805.759999999998"/>
    <n v="4"/>
    <x v="1"/>
  </r>
  <r>
    <n v="386"/>
    <n v="73"/>
    <s v="Male"/>
    <n v="14"/>
    <n v="2"/>
    <x v="0"/>
    <s v="Private"/>
    <n v="4.3"/>
    <n v="3091.57"/>
    <n v="1"/>
    <x v="1"/>
  </r>
  <r>
    <n v="387"/>
    <n v="50"/>
    <s v="Male"/>
    <n v="53"/>
    <n v="5"/>
    <x v="1"/>
    <s v="None"/>
    <n v="1.4"/>
    <n v="38494.6"/>
    <n v="5"/>
    <x v="0"/>
  </r>
  <r>
    <n v="388"/>
    <n v="41"/>
    <s v="Female"/>
    <n v="56"/>
    <n v="4"/>
    <x v="1"/>
    <s v="None"/>
    <n v="2"/>
    <n v="21116.97"/>
    <n v="2"/>
    <x v="1"/>
  </r>
  <r>
    <n v="389"/>
    <n v="69"/>
    <s v="Male"/>
    <n v="11"/>
    <n v="4"/>
    <x v="1"/>
    <s v="Private"/>
    <n v="1.6"/>
    <n v="41197.9"/>
    <n v="5"/>
    <x v="1"/>
  </r>
  <r>
    <n v="390"/>
    <n v="28"/>
    <s v="Male"/>
    <n v="9"/>
    <n v="14"/>
    <x v="1"/>
    <s v="Government"/>
    <n v="2.4"/>
    <n v="42592.23"/>
    <n v="9"/>
    <x v="1"/>
  </r>
  <r>
    <n v="391"/>
    <n v="66"/>
    <s v="Male"/>
    <n v="34"/>
    <n v="16"/>
    <x v="0"/>
    <s v="Private"/>
    <n v="2.8"/>
    <n v="10993.71"/>
    <n v="8"/>
    <x v="1"/>
  </r>
  <r>
    <n v="392"/>
    <n v="25"/>
    <s v="Female"/>
    <n v="12"/>
    <n v="8"/>
    <x v="0"/>
    <s v="Private"/>
    <n v="4"/>
    <n v="33039"/>
    <n v="0"/>
    <x v="1"/>
  </r>
  <r>
    <n v="393"/>
    <n v="53"/>
    <s v="Female"/>
    <n v="35"/>
    <n v="2"/>
    <x v="1"/>
    <s v="Private"/>
    <n v="3.6"/>
    <n v="23877.95"/>
    <n v="5"/>
    <x v="0"/>
  </r>
  <r>
    <n v="394"/>
    <n v="55"/>
    <s v="Female"/>
    <n v="35"/>
    <n v="19"/>
    <x v="1"/>
    <s v="Government"/>
    <n v="3.5"/>
    <n v="44067.76"/>
    <n v="8"/>
    <x v="1"/>
  </r>
  <r>
    <n v="395"/>
    <n v="57"/>
    <s v="Female"/>
    <n v="1"/>
    <n v="16"/>
    <x v="1"/>
    <s v="Private"/>
    <n v="2.4"/>
    <n v="11179.16"/>
    <n v="3"/>
    <x v="1"/>
  </r>
  <r>
    <n v="396"/>
    <n v="37"/>
    <s v="Female"/>
    <n v="40"/>
    <n v="9"/>
    <x v="1"/>
    <s v="Government"/>
    <n v="4.4000000000000004"/>
    <n v="34051.75"/>
    <n v="1"/>
    <x v="1"/>
  </r>
  <r>
    <n v="397"/>
    <n v="79"/>
    <s v="Female"/>
    <n v="22"/>
    <n v="2"/>
    <x v="1"/>
    <s v="Private"/>
    <n v="2.9"/>
    <n v="30583.73"/>
    <n v="3"/>
    <x v="1"/>
  </r>
  <r>
    <n v="398"/>
    <n v="52"/>
    <s v="Female"/>
    <n v="29"/>
    <n v="17"/>
    <x v="0"/>
    <s v="None"/>
    <n v="4.9000000000000004"/>
    <n v="15117.42"/>
    <n v="0"/>
    <x v="1"/>
  </r>
  <r>
    <n v="399"/>
    <n v="65"/>
    <s v="Male"/>
    <n v="8"/>
    <n v="17"/>
    <x v="0"/>
    <s v="Private"/>
    <n v="3.5"/>
    <n v="7261.74"/>
    <n v="2"/>
    <x v="1"/>
  </r>
  <r>
    <n v="400"/>
    <n v="79"/>
    <s v="Male"/>
    <n v="11"/>
    <n v="16"/>
    <x v="0"/>
    <s v="Private"/>
    <n v="1.5"/>
    <n v="32756.17"/>
    <n v="9"/>
    <x v="1"/>
  </r>
  <r>
    <n v="401"/>
    <n v="42"/>
    <s v="Male"/>
    <n v="41"/>
    <n v="2"/>
    <x v="0"/>
    <s v="None"/>
    <n v="3.7"/>
    <n v="37060.57"/>
    <n v="8"/>
    <x v="1"/>
  </r>
  <r>
    <n v="402"/>
    <n v="52"/>
    <s v="Male"/>
    <n v="37"/>
    <n v="2"/>
    <x v="1"/>
    <s v="Government"/>
    <n v="2.2999999999999998"/>
    <n v="16123.55"/>
    <n v="9"/>
    <x v="1"/>
  </r>
  <r>
    <n v="403"/>
    <n v="42"/>
    <s v="Male"/>
    <n v="14"/>
    <n v="5"/>
    <x v="1"/>
    <s v="Government"/>
    <n v="3.7"/>
    <n v="32419.21"/>
    <n v="4"/>
    <x v="1"/>
  </r>
  <r>
    <n v="404"/>
    <n v="46"/>
    <s v="Male"/>
    <n v="30"/>
    <n v="12"/>
    <x v="1"/>
    <s v="Private"/>
    <n v="1.3"/>
    <n v="20058.98"/>
    <n v="5"/>
    <x v="0"/>
  </r>
  <r>
    <n v="405"/>
    <n v="35"/>
    <s v="Male"/>
    <n v="35"/>
    <n v="14"/>
    <x v="1"/>
    <s v="None"/>
    <n v="1.7"/>
    <n v="35803.74"/>
    <n v="2"/>
    <x v="1"/>
  </r>
  <r>
    <n v="406"/>
    <n v="63"/>
    <s v="Female"/>
    <n v="21"/>
    <n v="8"/>
    <x v="1"/>
    <s v="Government"/>
    <n v="4.4000000000000004"/>
    <n v="10361.16"/>
    <n v="4"/>
    <x v="1"/>
  </r>
  <r>
    <n v="407"/>
    <n v="35"/>
    <s v="Female"/>
    <n v="37"/>
    <n v="3"/>
    <x v="0"/>
    <s v="Private"/>
    <n v="1.9"/>
    <n v="44565.64"/>
    <n v="7"/>
    <x v="1"/>
  </r>
  <r>
    <n v="408"/>
    <n v="19"/>
    <s v="Male"/>
    <n v="5"/>
    <n v="13"/>
    <x v="1"/>
    <s v="None"/>
    <n v="4.3"/>
    <n v="14726.78"/>
    <n v="5"/>
    <x v="1"/>
  </r>
  <r>
    <n v="409"/>
    <n v="71"/>
    <s v="Male"/>
    <n v="19"/>
    <n v="4"/>
    <x v="0"/>
    <s v="Government"/>
    <n v="2.1"/>
    <n v="18705.41"/>
    <n v="3"/>
    <x v="1"/>
  </r>
  <r>
    <n v="410"/>
    <n v="52"/>
    <s v="Female"/>
    <n v="59"/>
    <n v="1"/>
    <x v="0"/>
    <s v="Government"/>
    <n v="3.6"/>
    <n v="3375.55"/>
    <n v="1"/>
    <x v="1"/>
  </r>
  <r>
    <n v="411"/>
    <n v="33"/>
    <s v="Male"/>
    <n v="14"/>
    <n v="10"/>
    <x v="0"/>
    <s v="None"/>
    <n v="3.8"/>
    <n v="6019.85"/>
    <n v="8"/>
    <x v="0"/>
  </r>
  <r>
    <n v="412"/>
    <n v="78"/>
    <s v="Male"/>
    <n v="26"/>
    <n v="8"/>
    <x v="0"/>
    <s v="None"/>
    <n v="3.1"/>
    <n v="26035.16"/>
    <n v="0"/>
    <x v="0"/>
  </r>
  <r>
    <n v="413"/>
    <n v="58"/>
    <s v="Female"/>
    <n v="4"/>
    <n v="2"/>
    <x v="1"/>
    <s v="None"/>
    <n v="2.2000000000000002"/>
    <n v="13745.84"/>
    <n v="0"/>
    <x v="1"/>
  </r>
  <r>
    <n v="414"/>
    <n v="53"/>
    <s v="Male"/>
    <n v="25"/>
    <n v="8"/>
    <x v="0"/>
    <s v="None"/>
    <n v="1.9"/>
    <n v="41856.269999999997"/>
    <n v="3"/>
    <x v="1"/>
  </r>
  <r>
    <n v="415"/>
    <n v="50"/>
    <s v="Female"/>
    <n v="45"/>
    <n v="2"/>
    <x v="0"/>
    <s v="Private"/>
    <n v="1.1000000000000001"/>
    <n v="1227.32"/>
    <n v="6"/>
    <x v="0"/>
  </r>
  <r>
    <n v="416"/>
    <n v="21"/>
    <s v="Male"/>
    <n v="42"/>
    <n v="1"/>
    <x v="0"/>
    <s v="None"/>
    <n v="2.2000000000000002"/>
    <n v="19265.16"/>
    <n v="0"/>
    <x v="0"/>
  </r>
  <r>
    <n v="417"/>
    <n v="50"/>
    <s v="Female"/>
    <n v="25"/>
    <n v="11"/>
    <x v="1"/>
    <s v="Government"/>
    <n v="3.6"/>
    <n v="17198.599999999999"/>
    <n v="8"/>
    <x v="0"/>
  </r>
  <r>
    <n v="418"/>
    <n v="31"/>
    <s v="Female"/>
    <n v="18"/>
    <n v="9"/>
    <x v="1"/>
    <s v="Government"/>
    <n v="4.8"/>
    <n v="1456.72"/>
    <n v="3"/>
    <x v="1"/>
  </r>
  <r>
    <n v="419"/>
    <n v="38"/>
    <s v="Female"/>
    <n v="40"/>
    <n v="8"/>
    <x v="1"/>
    <s v="Private"/>
    <n v="4.5"/>
    <n v="6656.24"/>
    <n v="2"/>
    <x v="1"/>
  </r>
  <r>
    <n v="420"/>
    <n v="65"/>
    <s v="Male"/>
    <n v="8"/>
    <n v="14"/>
    <x v="0"/>
    <s v="Government"/>
    <n v="4.0999999999999996"/>
    <n v="20975.31"/>
    <n v="0"/>
    <x v="1"/>
  </r>
  <r>
    <n v="421"/>
    <n v="37"/>
    <s v="Female"/>
    <n v="39"/>
    <n v="7"/>
    <x v="0"/>
    <s v="Government"/>
    <n v="4.2"/>
    <n v="24896.799999999999"/>
    <n v="9"/>
    <x v="1"/>
  </r>
  <r>
    <n v="422"/>
    <n v="73"/>
    <s v="Male"/>
    <n v="40"/>
    <n v="4"/>
    <x v="1"/>
    <s v="None"/>
    <n v="3.7"/>
    <n v="20512.34"/>
    <n v="3"/>
    <x v="1"/>
  </r>
  <r>
    <n v="423"/>
    <n v="25"/>
    <s v="Male"/>
    <n v="14"/>
    <n v="10"/>
    <x v="0"/>
    <s v="Government"/>
    <n v="2"/>
    <n v="26781.42"/>
    <n v="8"/>
    <x v="1"/>
  </r>
  <r>
    <n v="424"/>
    <n v="24"/>
    <s v="Male"/>
    <n v="32"/>
    <n v="1"/>
    <x v="1"/>
    <s v="Private"/>
    <n v="4.5999999999999996"/>
    <n v="29959.02"/>
    <n v="9"/>
    <x v="0"/>
  </r>
  <r>
    <n v="425"/>
    <n v="20"/>
    <s v="Male"/>
    <n v="51"/>
    <n v="14"/>
    <x v="1"/>
    <s v="None"/>
    <n v="3.7"/>
    <n v="991.23"/>
    <n v="5"/>
    <x v="1"/>
  </r>
  <r>
    <n v="426"/>
    <n v="34"/>
    <s v="Female"/>
    <n v="38"/>
    <n v="5"/>
    <x v="0"/>
    <s v="None"/>
    <n v="3.2"/>
    <n v="23472.71"/>
    <n v="5"/>
    <x v="0"/>
  </r>
  <r>
    <n v="427"/>
    <n v="50"/>
    <s v="Female"/>
    <n v="33"/>
    <n v="7"/>
    <x v="0"/>
    <s v="Private"/>
    <n v="1.4"/>
    <n v="48193.21"/>
    <n v="0"/>
    <x v="1"/>
  </r>
  <r>
    <n v="428"/>
    <n v="65"/>
    <s v="Male"/>
    <n v="23"/>
    <n v="4"/>
    <x v="0"/>
    <s v="None"/>
    <n v="2.8"/>
    <n v="26192.1"/>
    <n v="9"/>
    <x v="1"/>
  </r>
  <r>
    <n v="429"/>
    <n v="29"/>
    <s v="Male"/>
    <n v="15"/>
    <n v="15"/>
    <x v="0"/>
    <s v="None"/>
    <n v="2.8"/>
    <n v="34038.339999999997"/>
    <n v="1"/>
    <x v="1"/>
  </r>
  <r>
    <n v="430"/>
    <n v="76"/>
    <s v="Female"/>
    <n v="33"/>
    <n v="17"/>
    <x v="1"/>
    <s v="Private"/>
    <n v="4.5"/>
    <n v="15937.26"/>
    <n v="5"/>
    <x v="0"/>
  </r>
  <r>
    <n v="431"/>
    <n v="68"/>
    <s v="Male"/>
    <n v="25"/>
    <n v="5"/>
    <x v="1"/>
    <s v="None"/>
    <n v="3.2"/>
    <n v="38812.57"/>
    <n v="1"/>
    <x v="1"/>
  </r>
  <r>
    <n v="432"/>
    <n v="39"/>
    <s v="Female"/>
    <n v="17"/>
    <n v="4"/>
    <x v="1"/>
    <s v="Private"/>
    <n v="2.5"/>
    <n v="38759.61"/>
    <n v="2"/>
    <x v="1"/>
  </r>
  <r>
    <n v="433"/>
    <n v="72"/>
    <s v="Male"/>
    <n v="33"/>
    <n v="15"/>
    <x v="1"/>
    <s v="Private"/>
    <n v="4.9000000000000004"/>
    <n v="26304.15"/>
    <n v="3"/>
    <x v="0"/>
  </r>
  <r>
    <n v="434"/>
    <n v="39"/>
    <s v="Male"/>
    <n v="47"/>
    <n v="12"/>
    <x v="1"/>
    <s v="Government"/>
    <n v="1.4"/>
    <n v="48812.68"/>
    <n v="4"/>
    <x v="1"/>
  </r>
  <r>
    <n v="435"/>
    <n v="63"/>
    <s v="Female"/>
    <n v="55"/>
    <n v="4"/>
    <x v="0"/>
    <s v="Government"/>
    <n v="2.7"/>
    <n v="6714.74"/>
    <n v="8"/>
    <x v="1"/>
  </r>
  <r>
    <n v="436"/>
    <n v="47"/>
    <s v="Male"/>
    <n v="2"/>
    <n v="12"/>
    <x v="1"/>
    <s v="None"/>
    <n v="1.2"/>
    <n v="1338.91"/>
    <n v="3"/>
    <x v="1"/>
  </r>
  <r>
    <n v="437"/>
    <n v="55"/>
    <s v="Female"/>
    <n v="14"/>
    <n v="16"/>
    <x v="1"/>
    <s v="None"/>
    <n v="4"/>
    <n v="38622.83"/>
    <n v="8"/>
    <x v="1"/>
  </r>
  <r>
    <n v="438"/>
    <n v="55"/>
    <s v="Male"/>
    <n v="53"/>
    <n v="17"/>
    <x v="1"/>
    <s v="Private"/>
    <n v="4.7"/>
    <n v="40454.199999999997"/>
    <n v="9"/>
    <x v="1"/>
  </r>
  <r>
    <n v="439"/>
    <n v="62"/>
    <s v="Male"/>
    <n v="40"/>
    <n v="7"/>
    <x v="0"/>
    <s v="None"/>
    <n v="2.1"/>
    <n v="6450.26"/>
    <n v="2"/>
    <x v="1"/>
  </r>
  <r>
    <n v="440"/>
    <n v="68"/>
    <s v="Male"/>
    <n v="40"/>
    <n v="12"/>
    <x v="0"/>
    <s v="Private"/>
    <n v="4.4000000000000004"/>
    <n v="13646.35"/>
    <n v="7"/>
    <x v="1"/>
  </r>
  <r>
    <n v="441"/>
    <n v="71"/>
    <s v="Female"/>
    <n v="51"/>
    <n v="18"/>
    <x v="0"/>
    <s v="Private"/>
    <n v="2.2000000000000002"/>
    <n v="1368.84"/>
    <n v="0"/>
    <x v="1"/>
  </r>
  <r>
    <n v="442"/>
    <n v="25"/>
    <s v="Male"/>
    <n v="39"/>
    <n v="2"/>
    <x v="0"/>
    <s v="None"/>
    <n v="4.5999999999999996"/>
    <n v="15018.78"/>
    <n v="8"/>
    <x v="1"/>
  </r>
  <r>
    <n v="443"/>
    <n v="44"/>
    <s v="Male"/>
    <n v="51"/>
    <n v="7"/>
    <x v="1"/>
    <s v="Private"/>
    <n v="4"/>
    <n v="38770.519999999997"/>
    <n v="8"/>
    <x v="1"/>
  </r>
  <r>
    <n v="444"/>
    <n v="44"/>
    <s v="Male"/>
    <n v="6"/>
    <n v="1"/>
    <x v="1"/>
    <s v="Government"/>
    <n v="4.2"/>
    <n v="26139.05"/>
    <n v="9"/>
    <x v="1"/>
  </r>
  <r>
    <n v="445"/>
    <n v="51"/>
    <s v="Male"/>
    <n v="6"/>
    <n v="7"/>
    <x v="0"/>
    <s v="None"/>
    <n v="1.1000000000000001"/>
    <n v="17730.73"/>
    <n v="1"/>
    <x v="1"/>
  </r>
  <r>
    <n v="446"/>
    <n v="38"/>
    <s v="Female"/>
    <n v="3"/>
    <n v="12"/>
    <x v="0"/>
    <s v="Government"/>
    <n v="4.9000000000000004"/>
    <n v="18901.099999999999"/>
    <n v="3"/>
    <x v="1"/>
  </r>
  <r>
    <n v="447"/>
    <n v="47"/>
    <s v="Female"/>
    <n v="7"/>
    <n v="12"/>
    <x v="1"/>
    <s v="None"/>
    <n v="3.9"/>
    <n v="567"/>
    <n v="7"/>
    <x v="1"/>
  </r>
  <r>
    <n v="448"/>
    <n v="50"/>
    <s v="Male"/>
    <n v="51"/>
    <n v="0"/>
    <x v="1"/>
    <s v="Private"/>
    <n v="2.2000000000000002"/>
    <n v="15340.13"/>
    <n v="6"/>
    <x v="1"/>
  </r>
  <r>
    <n v="449"/>
    <n v="45"/>
    <s v="Female"/>
    <n v="8"/>
    <n v="5"/>
    <x v="0"/>
    <s v="None"/>
    <n v="4.3"/>
    <n v="32499.71"/>
    <n v="0"/>
    <x v="0"/>
  </r>
  <r>
    <n v="450"/>
    <n v="64"/>
    <s v="Male"/>
    <n v="42"/>
    <n v="18"/>
    <x v="0"/>
    <s v="Government"/>
    <n v="2.1"/>
    <n v="48722.62"/>
    <n v="4"/>
    <x v="1"/>
  </r>
  <r>
    <n v="451"/>
    <n v="50"/>
    <s v="Male"/>
    <n v="52"/>
    <n v="15"/>
    <x v="0"/>
    <s v="Private"/>
    <n v="4.5"/>
    <n v="42429.51"/>
    <n v="6"/>
    <x v="0"/>
  </r>
  <r>
    <n v="452"/>
    <n v="22"/>
    <s v="Male"/>
    <n v="15"/>
    <n v="7"/>
    <x v="0"/>
    <s v="None"/>
    <n v="1.5"/>
    <n v="1667.95"/>
    <n v="3"/>
    <x v="0"/>
  </r>
  <r>
    <n v="453"/>
    <n v="77"/>
    <s v="Female"/>
    <n v="47"/>
    <n v="0"/>
    <x v="1"/>
    <s v="None"/>
    <n v="3.8"/>
    <n v="44978.75"/>
    <n v="0"/>
    <x v="1"/>
  </r>
  <r>
    <n v="454"/>
    <n v="78"/>
    <s v="Female"/>
    <n v="29"/>
    <n v="15"/>
    <x v="1"/>
    <s v="None"/>
    <n v="3.2"/>
    <n v="39268.32"/>
    <n v="8"/>
    <x v="1"/>
  </r>
  <r>
    <n v="455"/>
    <n v="65"/>
    <s v="Female"/>
    <n v="33"/>
    <n v="8"/>
    <x v="1"/>
    <s v="Government"/>
    <n v="1.4"/>
    <n v="39128.620000000003"/>
    <n v="4"/>
    <x v="1"/>
  </r>
  <r>
    <n v="456"/>
    <n v="36"/>
    <s v="Female"/>
    <n v="52"/>
    <n v="12"/>
    <x v="0"/>
    <s v="Government"/>
    <n v="2"/>
    <n v="23170.79"/>
    <n v="1"/>
    <x v="0"/>
  </r>
  <r>
    <n v="457"/>
    <n v="21"/>
    <s v="Female"/>
    <n v="30"/>
    <n v="10"/>
    <x v="0"/>
    <s v="None"/>
    <n v="1"/>
    <n v="20201.259999999998"/>
    <n v="7"/>
    <x v="1"/>
  </r>
  <r>
    <n v="458"/>
    <n v="52"/>
    <s v="Female"/>
    <n v="39"/>
    <n v="12"/>
    <x v="1"/>
    <s v="Private"/>
    <n v="2.9"/>
    <n v="15494.33"/>
    <n v="1"/>
    <x v="1"/>
  </r>
  <r>
    <n v="459"/>
    <n v="66"/>
    <s v="Female"/>
    <n v="27"/>
    <n v="9"/>
    <x v="1"/>
    <s v="Private"/>
    <n v="2.2000000000000002"/>
    <n v="3751.9"/>
    <n v="2"/>
    <x v="1"/>
  </r>
  <r>
    <n v="460"/>
    <n v="34"/>
    <s v="Female"/>
    <n v="36"/>
    <n v="3"/>
    <x v="1"/>
    <s v="Government"/>
    <n v="3.4"/>
    <n v="11797.65"/>
    <n v="9"/>
    <x v="0"/>
  </r>
  <r>
    <n v="461"/>
    <n v="61"/>
    <s v="Female"/>
    <n v="29"/>
    <n v="5"/>
    <x v="1"/>
    <s v="Private"/>
    <n v="2.2000000000000002"/>
    <n v="12706.88"/>
    <n v="0"/>
    <x v="0"/>
  </r>
  <r>
    <n v="462"/>
    <n v="45"/>
    <s v="Male"/>
    <n v="38"/>
    <n v="6"/>
    <x v="0"/>
    <s v="Government"/>
    <n v="2.2000000000000002"/>
    <n v="24461.81"/>
    <n v="1"/>
    <x v="1"/>
  </r>
  <r>
    <n v="463"/>
    <n v="47"/>
    <s v="Female"/>
    <n v="57"/>
    <n v="4"/>
    <x v="1"/>
    <s v="None"/>
    <n v="4"/>
    <n v="37498.5"/>
    <n v="6"/>
    <x v="1"/>
  </r>
  <r>
    <n v="464"/>
    <n v="46"/>
    <s v="Female"/>
    <n v="33"/>
    <n v="10"/>
    <x v="1"/>
    <s v="Government"/>
    <n v="1.2"/>
    <n v="23953.59"/>
    <n v="9"/>
    <x v="1"/>
  </r>
  <r>
    <n v="465"/>
    <n v="63"/>
    <s v="Female"/>
    <n v="37"/>
    <n v="12"/>
    <x v="1"/>
    <s v="Government"/>
    <n v="4.5999999999999996"/>
    <n v="3363.3"/>
    <n v="1"/>
    <x v="1"/>
  </r>
  <r>
    <n v="466"/>
    <n v="70"/>
    <s v="Female"/>
    <n v="27"/>
    <n v="18"/>
    <x v="1"/>
    <s v="None"/>
    <n v="4.4000000000000004"/>
    <n v="47910.6"/>
    <n v="5"/>
    <x v="0"/>
  </r>
  <r>
    <n v="467"/>
    <n v="23"/>
    <s v="Female"/>
    <n v="55"/>
    <n v="9"/>
    <x v="1"/>
    <s v="Private"/>
    <n v="3.7"/>
    <n v="47164.85"/>
    <n v="2"/>
    <x v="1"/>
  </r>
  <r>
    <n v="468"/>
    <n v="52"/>
    <s v="Female"/>
    <n v="33"/>
    <n v="9"/>
    <x v="1"/>
    <s v="Government"/>
    <n v="3.4"/>
    <n v="39366.879999999997"/>
    <n v="3"/>
    <x v="1"/>
  </r>
  <r>
    <n v="469"/>
    <n v="77"/>
    <s v="Female"/>
    <n v="4"/>
    <n v="10"/>
    <x v="1"/>
    <s v="Government"/>
    <n v="4.5999999999999996"/>
    <n v="49570.73"/>
    <n v="7"/>
    <x v="1"/>
  </r>
  <r>
    <n v="470"/>
    <n v="58"/>
    <s v="Female"/>
    <n v="22"/>
    <n v="6"/>
    <x v="0"/>
    <s v="None"/>
    <n v="1.7"/>
    <n v="27451.88"/>
    <n v="2"/>
    <x v="0"/>
  </r>
  <r>
    <n v="471"/>
    <n v="54"/>
    <s v="Female"/>
    <n v="2"/>
    <n v="17"/>
    <x v="0"/>
    <s v="Private"/>
    <n v="1.3"/>
    <n v="48157.03"/>
    <n v="9"/>
    <x v="0"/>
  </r>
  <r>
    <n v="472"/>
    <n v="41"/>
    <s v="Female"/>
    <n v="10"/>
    <n v="3"/>
    <x v="0"/>
    <s v="Government"/>
    <n v="2"/>
    <n v="4242.45"/>
    <n v="5"/>
    <x v="1"/>
  </r>
  <r>
    <n v="473"/>
    <n v="46"/>
    <s v="Female"/>
    <n v="5"/>
    <n v="1"/>
    <x v="0"/>
    <s v="None"/>
    <n v="4.2"/>
    <n v="18601.2"/>
    <n v="0"/>
    <x v="0"/>
  </r>
  <r>
    <n v="474"/>
    <n v="66"/>
    <s v="Male"/>
    <n v="59"/>
    <n v="13"/>
    <x v="1"/>
    <s v="Government"/>
    <n v="1.1000000000000001"/>
    <n v="11656.37"/>
    <n v="6"/>
    <x v="1"/>
  </r>
  <r>
    <n v="475"/>
    <n v="63"/>
    <s v="Male"/>
    <n v="10"/>
    <n v="12"/>
    <x v="0"/>
    <s v="None"/>
    <n v="3.3"/>
    <n v="10193.74"/>
    <n v="7"/>
    <x v="1"/>
  </r>
  <r>
    <n v="476"/>
    <n v="70"/>
    <s v="Female"/>
    <n v="33"/>
    <n v="11"/>
    <x v="0"/>
    <s v="Private"/>
    <n v="5"/>
    <n v="7469.75"/>
    <n v="7"/>
    <x v="1"/>
  </r>
  <r>
    <n v="477"/>
    <n v="48"/>
    <s v="Female"/>
    <n v="54"/>
    <n v="6"/>
    <x v="1"/>
    <s v="Private"/>
    <n v="4.4000000000000004"/>
    <n v="31309.48"/>
    <n v="2"/>
    <x v="1"/>
  </r>
  <r>
    <n v="478"/>
    <n v="52"/>
    <s v="Male"/>
    <n v="38"/>
    <n v="1"/>
    <x v="1"/>
    <s v="Private"/>
    <n v="3.1"/>
    <n v="39175.43"/>
    <n v="9"/>
    <x v="1"/>
  </r>
  <r>
    <n v="479"/>
    <n v="77"/>
    <s v="Female"/>
    <n v="13"/>
    <n v="12"/>
    <x v="0"/>
    <s v="Private"/>
    <n v="1.3"/>
    <n v="29125.77"/>
    <n v="0"/>
    <x v="0"/>
  </r>
  <r>
    <n v="480"/>
    <n v="50"/>
    <s v="Male"/>
    <n v="31"/>
    <n v="13"/>
    <x v="0"/>
    <s v="Government"/>
    <n v="4.3"/>
    <n v="7774.65"/>
    <n v="8"/>
    <x v="1"/>
  </r>
  <r>
    <n v="481"/>
    <n v="69"/>
    <s v="Male"/>
    <n v="47"/>
    <n v="16"/>
    <x v="1"/>
    <s v="Government"/>
    <n v="3.4"/>
    <n v="40650.629999999997"/>
    <n v="5"/>
    <x v="1"/>
  </r>
  <r>
    <n v="482"/>
    <n v="78"/>
    <s v="Male"/>
    <n v="36"/>
    <n v="8"/>
    <x v="0"/>
    <s v="Private"/>
    <n v="1.5"/>
    <n v="31979.759999999998"/>
    <n v="8"/>
    <x v="1"/>
  </r>
  <r>
    <n v="483"/>
    <n v="38"/>
    <s v="Male"/>
    <n v="45"/>
    <n v="16"/>
    <x v="1"/>
    <s v="Private"/>
    <n v="1.4"/>
    <n v="19714.2"/>
    <n v="6"/>
    <x v="1"/>
  </r>
  <r>
    <n v="484"/>
    <n v="49"/>
    <s v="Male"/>
    <n v="24"/>
    <n v="7"/>
    <x v="1"/>
    <s v="Private"/>
    <n v="4.5999999999999996"/>
    <n v="33869.449999999997"/>
    <n v="0"/>
    <x v="0"/>
  </r>
  <r>
    <n v="485"/>
    <n v="40"/>
    <s v="Female"/>
    <n v="52"/>
    <n v="1"/>
    <x v="1"/>
    <s v="Government"/>
    <n v="3.7"/>
    <n v="13365.3"/>
    <n v="0"/>
    <x v="1"/>
  </r>
  <r>
    <n v="486"/>
    <n v="50"/>
    <s v="Male"/>
    <n v="56"/>
    <n v="12"/>
    <x v="1"/>
    <s v="Private"/>
    <n v="4.3"/>
    <n v="17587.009999999998"/>
    <n v="5"/>
    <x v="1"/>
  </r>
  <r>
    <n v="487"/>
    <n v="20"/>
    <s v="Female"/>
    <n v="15"/>
    <n v="2"/>
    <x v="0"/>
    <s v="Private"/>
    <n v="4.5"/>
    <n v="45915.55"/>
    <n v="4"/>
    <x v="0"/>
  </r>
  <r>
    <n v="488"/>
    <n v="35"/>
    <s v="Female"/>
    <n v="29"/>
    <n v="15"/>
    <x v="1"/>
    <s v="Private"/>
    <n v="3.3"/>
    <n v="14879.97"/>
    <n v="8"/>
    <x v="1"/>
  </r>
  <r>
    <n v="489"/>
    <n v="42"/>
    <s v="Male"/>
    <n v="8"/>
    <n v="5"/>
    <x v="1"/>
    <s v="None"/>
    <n v="3.1"/>
    <n v="23764.42"/>
    <n v="1"/>
    <x v="1"/>
  </r>
  <r>
    <n v="490"/>
    <n v="59"/>
    <s v="Male"/>
    <n v="5"/>
    <n v="18"/>
    <x v="0"/>
    <s v="Private"/>
    <n v="2.7"/>
    <n v="44561.99"/>
    <n v="7"/>
    <x v="1"/>
  </r>
  <r>
    <n v="491"/>
    <n v="48"/>
    <s v="Female"/>
    <n v="29"/>
    <n v="6"/>
    <x v="1"/>
    <s v="None"/>
    <n v="2.2999999999999998"/>
    <n v="35532.21"/>
    <n v="4"/>
    <x v="1"/>
  </r>
  <r>
    <n v="492"/>
    <n v="71"/>
    <s v="Male"/>
    <n v="47"/>
    <n v="9"/>
    <x v="0"/>
    <s v="None"/>
    <n v="2.7"/>
    <n v="3579.06"/>
    <n v="1"/>
    <x v="0"/>
  </r>
  <r>
    <n v="493"/>
    <n v="75"/>
    <s v="Male"/>
    <n v="4"/>
    <n v="8"/>
    <x v="0"/>
    <s v="Private"/>
    <n v="4.0999999999999996"/>
    <n v="7791.5"/>
    <n v="9"/>
    <x v="0"/>
  </r>
  <r>
    <n v="494"/>
    <n v="20"/>
    <s v="Female"/>
    <n v="12"/>
    <n v="1"/>
    <x v="0"/>
    <s v="None"/>
    <n v="3.4"/>
    <n v="888.16"/>
    <n v="5"/>
    <x v="1"/>
  </r>
  <r>
    <n v="495"/>
    <n v="57"/>
    <s v="Female"/>
    <n v="45"/>
    <n v="14"/>
    <x v="1"/>
    <s v="Private"/>
    <n v="4.5999999999999996"/>
    <n v="31730.63"/>
    <n v="9"/>
    <x v="0"/>
  </r>
  <r>
    <n v="496"/>
    <n v="63"/>
    <s v="Male"/>
    <n v="2"/>
    <n v="4"/>
    <x v="0"/>
    <s v="Government"/>
    <n v="2.8"/>
    <n v="22659.83"/>
    <n v="7"/>
    <x v="1"/>
  </r>
  <r>
    <n v="497"/>
    <n v="41"/>
    <s v="Female"/>
    <n v="27"/>
    <n v="3"/>
    <x v="0"/>
    <s v="Government"/>
    <n v="3.4"/>
    <n v="7146.61"/>
    <n v="3"/>
    <x v="1"/>
  </r>
  <r>
    <n v="498"/>
    <n v="67"/>
    <s v="Male"/>
    <n v="31"/>
    <n v="19"/>
    <x v="1"/>
    <s v="Government"/>
    <n v="3.5"/>
    <n v="47917.74"/>
    <n v="1"/>
    <x v="1"/>
  </r>
  <r>
    <n v="499"/>
    <n v="49"/>
    <s v="Male"/>
    <n v="51"/>
    <n v="3"/>
    <x v="0"/>
    <s v="Government"/>
    <n v="3.4"/>
    <n v="26718.16"/>
    <n v="4"/>
    <x v="1"/>
  </r>
  <r>
    <n v="500"/>
    <n v="64"/>
    <s v="Male"/>
    <n v="51"/>
    <n v="17"/>
    <x v="0"/>
    <s v="None"/>
    <n v="3.8"/>
    <n v="12473.72"/>
    <n v="1"/>
    <x v="1"/>
  </r>
  <r>
    <m/>
    <m/>
    <m/>
    <m/>
    <m/>
    <x v="2"/>
    <m/>
    <m/>
    <m/>
    <m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</r>
  <r>
    <x v="1"/>
    <x v="0"/>
  </r>
  <r>
    <x v="1"/>
    <x v="1"/>
  </r>
  <r>
    <x v="1"/>
    <x v="0"/>
  </r>
  <r>
    <x v="1"/>
    <x v="2"/>
  </r>
  <r>
    <x v="1"/>
    <x v="2"/>
  </r>
  <r>
    <x v="1"/>
    <x v="1"/>
  </r>
  <r>
    <x v="1"/>
    <x v="2"/>
  </r>
  <r>
    <x v="0"/>
    <x v="0"/>
  </r>
  <r>
    <x v="1"/>
    <x v="2"/>
  </r>
  <r>
    <x v="0"/>
    <x v="1"/>
  </r>
  <r>
    <x v="1"/>
    <x v="0"/>
  </r>
  <r>
    <x v="1"/>
    <x v="1"/>
  </r>
  <r>
    <x v="1"/>
    <x v="0"/>
  </r>
  <r>
    <x v="1"/>
    <x v="2"/>
  </r>
  <r>
    <x v="1"/>
    <x v="1"/>
  </r>
  <r>
    <x v="1"/>
    <x v="1"/>
  </r>
  <r>
    <x v="1"/>
    <x v="0"/>
  </r>
  <r>
    <x v="1"/>
    <x v="1"/>
  </r>
  <r>
    <x v="0"/>
    <x v="0"/>
  </r>
  <r>
    <x v="0"/>
    <x v="0"/>
  </r>
  <r>
    <x v="1"/>
    <x v="0"/>
  </r>
  <r>
    <x v="1"/>
    <x v="0"/>
  </r>
  <r>
    <x v="1"/>
    <x v="2"/>
  </r>
  <r>
    <x v="1"/>
    <x v="0"/>
  </r>
  <r>
    <x v="1"/>
    <x v="1"/>
  </r>
  <r>
    <x v="1"/>
    <x v="2"/>
  </r>
  <r>
    <x v="1"/>
    <x v="1"/>
  </r>
  <r>
    <x v="1"/>
    <x v="2"/>
  </r>
  <r>
    <x v="1"/>
    <x v="0"/>
  </r>
  <r>
    <x v="0"/>
    <x v="2"/>
  </r>
  <r>
    <x v="0"/>
    <x v="2"/>
  </r>
  <r>
    <x v="1"/>
    <x v="1"/>
  </r>
  <r>
    <x v="0"/>
    <x v="1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0"/>
  </r>
  <r>
    <x v="1"/>
    <x v="0"/>
  </r>
  <r>
    <x v="1"/>
    <x v="0"/>
  </r>
  <r>
    <x v="1"/>
    <x v="1"/>
  </r>
  <r>
    <x v="1"/>
    <x v="2"/>
  </r>
  <r>
    <x v="0"/>
    <x v="2"/>
  </r>
  <r>
    <x v="1"/>
    <x v="2"/>
  </r>
  <r>
    <x v="0"/>
    <x v="2"/>
  </r>
  <r>
    <x v="0"/>
    <x v="2"/>
  </r>
  <r>
    <x v="1"/>
    <x v="2"/>
  </r>
  <r>
    <x v="1"/>
    <x v="2"/>
  </r>
  <r>
    <x v="1"/>
    <x v="2"/>
  </r>
  <r>
    <x v="1"/>
    <x v="1"/>
  </r>
  <r>
    <x v="1"/>
    <x v="2"/>
  </r>
  <r>
    <x v="1"/>
    <x v="1"/>
  </r>
  <r>
    <x v="1"/>
    <x v="0"/>
  </r>
  <r>
    <x v="1"/>
    <x v="2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2"/>
  </r>
  <r>
    <x v="1"/>
    <x v="2"/>
  </r>
  <r>
    <x v="1"/>
    <x v="1"/>
  </r>
  <r>
    <x v="0"/>
    <x v="1"/>
  </r>
  <r>
    <x v="1"/>
    <x v="2"/>
  </r>
  <r>
    <x v="1"/>
    <x v="1"/>
  </r>
  <r>
    <x v="1"/>
    <x v="2"/>
  </r>
  <r>
    <x v="1"/>
    <x v="0"/>
  </r>
  <r>
    <x v="1"/>
    <x v="0"/>
  </r>
  <r>
    <x v="1"/>
    <x v="1"/>
  </r>
  <r>
    <x v="1"/>
    <x v="2"/>
  </r>
  <r>
    <x v="1"/>
    <x v="2"/>
  </r>
  <r>
    <x v="1"/>
    <x v="1"/>
  </r>
  <r>
    <x v="1"/>
    <x v="2"/>
  </r>
  <r>
    <x v="1"/>
    <x v="0"/>
  </r>
  <r>
    <x v="0"/>
    <x v="1"/>
  </r>
  <r>
    <x v="1"/>
    <x v="1"/>
  </r>
  <r>
    <x v="1"/>
    <x v="2"/>
  </r>
  <r>
    <x v="1"/>
    <x v="1"/>
  </r>
  <r>
    <x v="1"/>
    <x v="2"/>
  </r>
  <r>
    <x v="1"/>
    <x v="2"/>
  </r>
  <r>
    <x v="1"/>
    <x v="2"/>
  </r>
  <r>
    <x v="1"/>
    <x v="2"/>
  </r>
  <r>
    <x v="1"/>
    <x v="2"/>
  </r>
  <r>
    <x v="1"/>
    <x v="1"/>
  </r>
  <r>
    <x v="1"/>
    <x v="0"/>
  </r>
  <r>
    <x v="0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2"/>
  </r>
  <r>
    <x v="1"/>
    <x v="1"/>
  </r>
  <r>
    <x v="1"/>
    <x v="2"/>
  </r>
  <r>
    <x v="0"/>
    <x v="0"/>
  </r>
  <r>
    <x v="1"/>
    <x v="0"/>
  </r>
  <r>
    <x v="1"/>
    <x v="0"/>
  </r>
  <r>
    <x v="1"/>
    <x v="2"/>
  </r>
  <r>
    <x v="1"/>
    <x v="2"/>
  </r>
  <r>
    <x v="0"/>
    <x v="0"/>
  </r>
  <r>
    <x v="1"/>
    <x v="2"/>
  </r>
  <r>
    <x v="1"/>
    <x v="2"/>
  </r>
  <r>
    <x v="1"/>
    <x v="0"/>
  </r>
  <r>
    <x v="1"/>
    <x v="2"/>
  </r>
  <r>
    <x v="1"/>
    <x v="1"/>
  </r>
  <r>
    <x v="1"/>
    <x v="1"/>
  </r>
  <r>
    <x v="1"/>
    <x v="1"/>
  </r>
  <r>
    <x v="1"/>
    <x v="1"/>
  </r>
  <r>
    <x v="1"/>
    <x v="0"/>
  </r>
  <r>
    <x v="0"/>
    <x v="0"/>
  </r>
  <r>
    <x v="0"/>
    <x v="0"/>
  </r>
  <r>
    <x v="0"/>
    <x v="1"/>
  </r>
  <r>
    <x v="1"/>
    <x v="1"/>
  </r>
  <r>
    <x v="1"/>
    <x v="2"/>
  </r>
  <r>
    <x v="0"/>
    <x v="2"/>
  </r>
  <r>
    <x v="1"/>
    <x v="1"/>
  </r>
  <r>
    <x v="1"/>
    <x v="1"/>
  </r>
  <r>
    <x v="0"/>
    <x v="1"/>
  </r>
  <r>
    <x v="0"/>
    <x v="1"/>
  </r>
  <r>
    <x v="1"/>
    <x v="2"/>
  </r>
  <r>
    <x v="1"/>
    <x v="1"/>
  </r>
  <r>
    <x v="1"/>
    <x v="2"/>
  </r>
  <r>
    <x v="0"/>
    <x v="1"/>
  </r>
  <r>
    <x v="0"/>
    <x v="1"/>
  </r>
  <r>
    <x v="1"/>
    <x v="1"/>
  </r>
  <r>
    <x v="1"/>
    <x v="2"/>
  </r>
  <r>
    <x v="0"/>
    <x v="2"/>
  </r>
  <r>
    <x v="1"/>
    <x v="0"/>
  </r>
  <r>
    <x v="1"/>
    <x v="1"/>
  </r>
  <r>
    <x v="0"/>
    <x v="0"/>
  </r>
  <r>
    <x v="1"/>
    <x v="0"/>
  </r>
  <r>
    <x v="1"/>
    <x v="2"/>
  </r>
  <r>
    <x v="1"/>
    <x v="2"/>
  </r>
  <r>
    <x v="1"/>
    <x v="0"/>
  </r>
  <r>
    <x v="0"/>
    <x v="1"/>
  </r>
  <r>
    <x v="1"/>
    <x v="2"/>
  </r>
  <r>
    <x v="0"/>
    <x v="1"/>
  </r>
  <r>
    <x v="1"/>
    <x v="1"/>
  </r>
  <r>
    <x v="1"/>
    <x v="0"/>
  </r>
  <r>
    <x v="1"/>
    <x v="0"/>
  </r>
  <r>
    <x v="1"/>
    <x v="0"/>
  </r>
  <r>
    <x v="1"/>
    <x v="0"/>
  </r>
  <r>
    <x v="1"/>
    <x v="2"/>
  </r>
  <r>
    <x v="1"/>
    <x v="2"/>
  </r>
  <r>
    <x v="1"/>
    <x v="0"/>
  </r>
  <r>
    <x v="1"/>
    <x v="2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2"/>
  </r>
  <r>
    <x v="0"/>
    <x v="1"/>
  </r>
  <r>
    <x v="0"/>
    <x v="1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0"/>
    <x v="1"/>
  </r>
  <r>
    <x v="1"/>
    <x v="0"/>
  </r>
  <r>
    <x v="1"/>
    <x v="2"/>
  </r>
  <r>
    <x v="1"/>
    <x v="2"/>
  </r>
  <r>
    <x v="1"/>
    <x v="0"/>
  </r>
  <r>
    <x v="1"/>
    <x v="1"/>
  </r>
  <r>
    <x v="1"/>
    <x v="1"/>
  </r>
  <r>
    <x v="1"/>
    <x v="2"/>
  </r>
  <r>
    <x v="0"/>
    <x v="1"/>
  </r>
  <r>
    <x v="1"/>
    <x v="0"/>
  </r>
  <r>
    <x v="0"/>
    <x v="0"/>
  </r>
  <r>
    <x v="0"/>
    <x v="2"/>
  </r>
  <r>
    <x v="1"/>
    <x v="0"/>
  </r>
  <r>
    <x v="1"/>
    <x v="2"/>
  </r>
  <r>
    <x v="0"/>
    <x v="0"/>
  </r>
  <r>
    <x v="1"/>
    <x v="2"/>
  </r>
  <r>
    <x v="1"/>
    <x v="1"/>
  </r>
  <r>
    <x v="1"/>
    <x v="0"/>
  </r>
  <r>
    <x v="1"/>
    <x v="0"/>
  </r>
  <r>
    <x v="1"/>
    <x v="2"/>
  </r>
  <r>
    <x v="1"/>
    <x v="2"/>
  </r>
  <r>
    <x v="1"/>
    <x v="0"/>
  </r>
  <r>
    <x v="1"/>
    <x v="2"/>
  </r>
  <r>
    <x v="1"/>
    <x v="0"/>
  </r>
  <r>
    <x v="1"/>
    <x v="1"/>
  </r>
  <r>
    <x v="1"/>
    <x v="2"/>
  </r>
  <r>
    <x v="0"/>
    <x v="0"/>
  </r>
  <r>
    <x v="1"/>
    <x v="1"/>
  </r>
  <r>
    <x v="1"/>
    <x v="1"/>
  </r>
  <r>
    <x v="1"/>
    <x v="0"/>
  </r>
  <r>
    <x v="1"/>
    <x v="2"/>
  </r>
  <r>
    <x v="1"/>
    <x v="0"/>
  </r>
  <r>
    <x v="0"/>
    <x v="1"/>
  </r>
  <r>
    <x v="1"/>
    <x v="0"/>
  </r>
  <r>
    <x v="0"/>
    <x v="2"/>
  </r>
  <r>
    <x v="1"/>
    <x v="1"/>
  </r>
  <r>
    <x v="1"/>
    <x v="0"/>
  </r>
  <r>
    <x v="1"/>
    <x v="2"/>
  </r>
  <r>
    <x v="0"/>
    <x v="1"/>
  </r>
  <r>
    <x v="1"/>
    <x v="2"/>
  </r>
  <r>
    <x v="1"/>
    <x v="1"/>
  </r>
  <r>
    <x v="1"/>
    <x v="0"/>
  </r>
  <r>
    <x v="1"/>
    <x v="2"/>
  </r>
  <r>
    <x v="1"/>
    <x v="1"/>
  </r>
  <r>
    <x v="1"/>
    <x v="2"/>
  </r>
  <r>
    <x v="1"/>
    <x v="2"/>
  </r>
  <r>
    <x v="1"/>
    <x v="0"/>
  </r>
  <r>
    <x v="1"/>
    <x v="2"/>
  </r>
  <r>
    <x v="0"/>
    <x v="1"/>
  </r>
  <r>
    <x v="0"/>
    <x v="1"/>
  </r>
  <r>
    <x v="0"/>
    <x v="1"/>
  </r>
  <r>
    <x v="1"/>
    <x v="1"/>
  </r>
  <r>
    <x v="1"/>
    <x v="0"/>
  </r>
  <r>
    <x v="1"/>
    <x v="2"/>
  </r>
  <r>
    <x v="1"/>
    <x v="0"/>
  </r>
  <r>
    <x v="1"/>
    <x v="2"/>
  </r>
  <r>
    <x v="1"/>
    <x v="2"/>
  </r>
  <r>
    <x v="1"/>
    <x v="2"/>
  </r>
  <r>
    <x v="1"/>
    <x v="0"/>
  </r>
  <r>
    <x v="0"/>
    <x v="2"/>
  </r>
  <r>
    <x v="1"/>
    <x v="0"/>
  </r>
  <r>
    <x v="1"/>
    <x v="1"/>
  </r>
  <r>
    <x v="1"/>
    <x v="1"/>
  </r>
  <r>
    <x v="1"/>
    <x v="2"/>
  </r>
  <r>
    <x v="1"/>
    <x v="0"/>
  </r>
  <r>
    <x v="0"/>
    <x v="1"/>
  </r>
  <r>
    <x v="0"/>
    <x v="0"/>
  </r>
  <r>
    <x v="1"/>
    <x v="0"/>
  </r>
  <r>
    <x v="0"/>
    <x v="2"/>
  </r>
  <r>
    <x v="0"/>
    <x v="1"/>
  </r>
  <r>
    <x v="0"/>
    <x v="2"/>
  </r>
  <r>
    <x v="0"/>
    <x v="2"/>
  </r>
  <r>
    <x v="1"/>
    <x v="1"/>
  </r>
  <r>
    <x v="1"/>
    <x v="1"/>
  </r>
  <r>
    <x v="1"/>
    <x v="0"/>
  </r>
  <r>
    <x v="1"/>
    <x v="1"/>
  </r>
  <r>
    <x v="0"/>
    <x v="0"/>
  </r>
  <r>
    <x v="1"/>
    <x v="0"/>
  </r>
  <r>
    <x v="1"/>
    <x v="0"/>
  </r>
  <r>
    <x v="0"/>
    <x v="1"/>
  </r>
  <r>
    <x v="0"/>
    <x v="2"/>
  </r>
  <r>
    <x v="0"/>
    <x v="0"/>
  </r>
  <r>
    <x v="1"/>
    <x v="2"/>
  </r>
  <r>
    <x v="1"/>
    <x v="2"/>
  </r>
  <r>
    <x v="1"/>
    <x v="1"/>
  </r>
  <r>
    <x v="1"/>
    <x v="2"/>
  </r>
  <r>
    <x v="1"/>
    <x v="2"/>
  </r>
  <r>
    <x v="1"/>
    <x v="1"/>
  </r>
  <r>
    <x v="0"/>
    <x v="0"/>
  </r>
  <r>
    <x v="1"/>
    <x v="2"/>
  </r>
  <r>
    <x v="1"/>
    <x v="1"/>
  </r>
  <r>
    <x v="1"/>
    <x v="2"/>
  </r>
  <r>
    <x v="1"/>
    <x v="2"/>
  </r>
  <r>
    <x v="1"/>
    <x v="0"/>
  </r>
  <r>
    <x v="0"/>
    <x v="2"/>
  </r>
  <r>
    <x v="1"/>
    <x v="1"/>
  </r>
  <r>
    <x v="0"/>
    <x v="2"/>
  </r>
  <r>
    <x v="1"/>
    <x v="0"/>
  </r>
  <r>
    <x v="0"/>
    <x v="0"/>
  </r>
  <r>
    <x v="1"/>
    <x v="1"/>
  </r>
  <r>
    <x v="1"/>
    <x v="0"/>
  </r>
  <r>
    <x v="1"/>
    <x v="2"/>
  </r>
  <r>
    <x v="0"/>
    <x v="0"/>
  </r>
  <r>
    <x v="1"/>
    <x v="1"/>
  </r>
  <r>
    <x v="1"/>
    <x v="0"/>
  </r>
  <r>
    <x v="0"/>
    <x v="0"/>
  </r>
  <r>
    <x v="0"/>
    <x v="0"/>
  </r>
  <r>
    <x v="1"/>
    <x v="1"/>
  </r>
  <r>
    <x v="1"/>
    <x v="0"/>
  </r>
  <r>
    <x v="1"/>
    <x v="0"/>
  </r>
  <r>
    <x v="1"/>
    <x v="2"/>
  </r>
  <r>
    <x v="1"/>
    <x v="1"/>
  </r>
  <r>
    <x v="0"/>
    <x v="0"/>
  </r>
  <r>
    <x v="0"/>
    <x v="1"/>
  </r>
  <r>
    <x v="1"/>
    <x v="0"/>
  </r>
  <r>
    <x v="1"/>
    <x v="0"/>
  </r>
  <r>
    <x v="1"/>
    <x v="0"/>
  </r>
  <r>
    <x v="0"/>
    <x v="2"/>
  </r>
  <r>
    <x v="0"/>
    <x v="2"/>
  </r>
  <r>
    <x v="1"/>
    <x v="2"/>
  </r>
  <r>
    <x v="0"/>
    <x v="1"/>
  </r>
  <r>
    <x v="1"/>
    <x v="1"/>
  </r>
  <r>
    <x v="1"/>
    <x v="2"/>
  </r>
  <r>
    <x v="1"/>
    <x v="1"/>
  </r>
  <r>
    <x v="1"/>
    <x v="0"/>
  </r>
  <r>
    <x v="1"/>
    <x v="0"/>
  </r>
  <r>
    <x v="1"/>
    <x v="0"/>
  </r>
  <r>
    <x v="1"/>
    <x v="2"/>
  </r>
  <r>
    <x v="0"/>
    <x v="1"/>
  </r>
  <r>
    <x v="1"/>
    <x v="2"/>
  </r>
  <r>
    <x v="1"/>
    <x v="1"/>
  </r>
  <r>
    <x v="1"/>
    <x v="0"/>
  </r>
  <r>
    <x v="1"/>
    <x v="2"/>
  </r>
  <r>
    <x v="1"/>
    <x v="1"/>
  </r>
  <r>
    <x v="1"/>
    <x v="1"/>
  </r>
  <r>
    <x v="1"/>
    <x v="0"/>
  </r>
  <r>
    <x v="1"/>
    <x v="2"/>
  </r>
  <r>
    <x v="1"/>
    <x v="2"/>
  </r>
  <r>
    <x v="1"/>
    <x v="2"/>
  </r>
  <r>
    <x v="1"/>
    <x v="0"/>
  </r>
  <r>
    <x v="1"/>
    <x v="2"/>
  </r>
  <r>
    <x v="1"/>
    <x v="0"/>
  </r>
  <r>
    <x v="0"/>
    <x v="0"/>
  </r>
  <r>
    <x v="1"/>
    <x v="0"/>
  </r>
  <r>
    <x v="1"/>
    <x v="1"/>
  </r>
  <r>
    <x v="0"/>
    <x v="2"/>
  </r>
  <r>
    <x v="1"/>
    <x v="2"/>
  </r>
  <r>
    <x v="1"/>
    <x v="0"/>
  </r>
  <r>
    <x v="0"/>
    <x v="0"/>
  </r>
  <r>
    <x v="0"/>
    <x v="2"/>
  </r>
  <r>
    <x v="0"/>
    <x v="0"/>
  </r>
  <r>
    <x v="1"/>
    <x v="2"/>
  </r>
  <r>
    <x v="1"/>
    <x v="1"/>
  </r>
  <r>
    <x v="1"/>
    <x v="0"/>
  </r>
  <r>
    <x v="1"/>
    <x v="2"/>
  </r>
  <r>
    <x v="1"/>
    <x v="0"/>
  </r>
  <r>
    <x v="1"/>
    <x v="2"/>
  </r>
  <r>
    <x v="0"/>
    <x v="2"/>
  </r>
  <r>
    <x v="1"/>
    <x v="0"/>
  </r>
  <r>
    <x v="1"/>
    <x v="1"/>
  </r>
  <r>
    <x v="1"/>
    <x v="2"/>
  </r>
  <r>
    <x v="1"/>
    <x v="2"/>
  </r>
  <r>
    <x v="1"/>
    <x v="2"/>
  </r>
  <r>
    <x v="1"/>
    <x v="1"/>
  </r>
  <r>
    <x v="1"/>
    <x v="1"/>
  </r>
  <r>
    <x v="1"/>
    <x v="0"/>
  </r>
  <r>
    <x v="0"/>
    <x v="1"/>
  </r>
  <r>
    <x v="0"/>
    <x v="0"/>
  </r>
  <r>
    <x v="1"/>
    <x v="0"/>
  </r>
  <r>
    <x v="1"/>
    <x v="1"/>
  </r>
  <r>
    <x v="0"/>
    <x v="0"/>
  </r>
  <r>
    <x v="0"/>
    <x v="1"/>
  </r>
  <r>
    <x v="1"/>
    <x v="0"/>
  </r>
  <r>
    <x v="1"/>
    <x v="1"/>
  </r>
  <r>
    <x v="1"/>
    <x v="1"/>
  </r>
  <r>
    <x v="0"/>
    <x v="0"/>
  </r>
  <r>
    <x v="0"/>
    <x v="2"/>
  </r>
  <r>
    <x v="1"/>
    <x v="0"/>
  </r>
  <r>
    <x v="0"/>
    <x v="1"/>
  </r>
  <r>
    <x v="1"/>
    <x v="2"/>
  </r>
  <r>
    <x v="0"/>
    <x v="0"/>
  </r>
  <r>
    <x v="1"/>
    <x v="0"/>
  </r>
  <r>
    <x v="0"/>
    <x v="0"/>
  </r>
  <r>
    <x v="1"/>
    <x v="2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0"/>
  </r>
  <r>
    <x v="1"/>
    <x v="2"/>
  </r>
  <r>
    <x v="1"/>
    <x v="1"/>
  </r>
  <r>
    <x v="1"/>
    <x v="2"/>
  </r>
  <r>
    <x v="1"/>
    <x v="1"/>
  </r>
  <r>
    <x v="1"/>
    <x v="0"/>
  </r>
  <r>
    <x v="1"/>
    <x v="1"/>
  </r>
  <r>
    <x v="1"/>
    <x v="0"/>
  </r>
  <r>
    <x v="0"/>
    <x v="1"/>
  </r>
  <r>
    <x v="0"/>
    <x v="0"/>
  </r>
  <r>
    <x v="0"/>
    <x v="0"/>
  </r>
  <r>
    <x v="1"/>
    <x v="0"/>
  </r>
  <r>
    <x v="1"/>
    <x v="0"/>
  </r>
  <r>
    <x v="0"/>
    <x v="2"/>
  </r>
  <r>
    <x v="1"/>
    <x v="0"/>
  </r>
  <r>
    <x v="1"/>
    <x v="2"/>
  </r>
  <r>
    <x v="1"/>
    <x v="2"/>
  </r>
  <r>
    <x v="1"/>
    <x v="0"/>
  </r>
  <r>
    <x v="1"/>
    <x v="2"/>
  </r>
  <r>
    <x v="1"/>
    <x v="1"/>
  </r>
  <r>
    <x v="1"/>
    <x v="0"/>
  </r>
  <r>
    <x v="1"/>
    <x v="2"/>
  </r>
  <r>
    <x v="1"/>
    <x v="0"/>
  </r>
  <r>
    <x v="0"/>
    <x v="0"/>
  </r>
  <r>
    <x v="1"/>
    <x v="0"/>
  </r>
  <r>
    <x v="1"/>
    <x v="2"/>
  </r>
  <r>
    <x v="0"/>
    <x v="1"/>
  </r>
  <r>
    <x v="1"/>
    <x v="1"/>
  </r>
  <r>
    <x v="1"/>
    <x v="2"/>
  </r>
  <r>
    <x v="1"/>
    <x v="0"/>
  </r>
  <r>
    <x v="1"/>
    <x v="2"/>
  </r>
  <r>
    <x v="1"/>
    <x v="2"/>
  </r>
  <r>
    <x v="0"/>
    <x v="2"/>
  </r>
  <r>
    <x v="1"/>
    <x v="0"/>
  </r>
  <r>
    <x v="1"/>
    <x v="2"/>
  </r>
  <r>
    <x v="1"/>
    <x v="0"/>
  </r>
  <r>
    <x v="1"/>
    <x v="2"/>
  </r>
  <r>
    <x v="1"/>
    <x v="1"/>
  </r>
  <r>
    <x v="1"/>
    <x v="2"/>
  </r>
  <r>
    <x v="1"/>
    <x v="2"/>
  </r>
  <r>
    <x v="1"/>
    <x v="1"/>
  </r>
  <r>
    <x v="1"/>
    <x v="0"/>
  </r>
  <r>
    <x v="1"/>
    <x v="0"/>
  </r>
  <r>
    <x v="0"/>
    <x v="2"/>
  </r>
  <r>
    <x v="1"/>
    <x v="1"/>
  </r>
  <r>
    <x v="1"/>
    <x v="0"/>
  </r>
  <r>
    <x v="1"/>
    <x v="2"/>
  </r>
  <r>
    <x v="1"/>
    <x v="1"/>
  </r>
  <r>
    <x v="1"/>
    <x v="0"/>
  </r>
  <r>
    <x v="1"/>
    <x v="0"/>
  </r>
  <r>
    <x v="0"/>
    <x v="1"/>
  </r>
  <r>
    <x v="0"/>
    <x v="1"/>
  </r>
  <r>
    <x v="1"/>
    <x v="1"/>
  </r>
  <r>
    <x v="1"/>
    <x v="1"/>
  </r>
  <r>
    <x v="0"/>
    <x v="2"/>
  </r>
  <r>
    <x v="0"/>
    <x v="1"/>
  </r>
  <r>
    <x v="0"/>
    <x v="0"/>
  </r>
  <r>
    <x v="1"/>
    <x v="0"/>
  </r>
  <r>
    <x v="1"/>
    <x v="2"/>
  </r>
  <r>
    <x v="1"/>
    <x v="0"/>
  </r>
  <r>
    <x v="1"/>
    <x v="0"/>
  </r>
  <r>
    <x v="1"/>
    <x v="1"/>
  </r>
  <r>
    <x v="1"/>
    <x v="0"/>
  </r>
  <r>
    <x v="0"/>
    <x v="2"/>
  </r>
  <r>
    <x v="1"/>
    <x v="1"/>
  </r>
  <r>
    <x v="0"/>
    <x v="1"/>
  </r>
  <r>
    <x v="1"/>
    <x v="2"/>
  </r>
  <r>
    <x v="1"/>
    <x v="1"/>
  </r>
  <r>
    <x v="1"/>
    <x v="1"/>
  </r>
  <r>
    <x v="0"/>
    <x v="2"/>
  </r>
  <r>
    <x v="1"/>
    <x v="1"/>
  </r>
  <r>
    <x v="1"/>
    <x v="2"/>
  </r>
  <r>
    <x v="0"/>
    <x v="2"/>
  </r>
  <r>
    <x v="1"/>
    <x v="0"/>
  </r>
  <r>
    <x v="1"/>
    <x v="0"/>
  </r>
  <r>
    <x v="1"/>
    <x v="1"/>
  </r>
  <r>
    <x v="1"/>
    <x v="1"/>
  </r>
  <r>
    <x v="1"/>
    <x v="2"/>
  </r>
  <r>
    <x v="1"/>
    <x v="1"/>
  </r>
  <r>
    <x v="1"/>
    <x v="2"/>
  </r>
  <r>
    <x v="1"/>
    <x v="2"/>
  </r>
  <r>
    <x v="1"/>
    <x v="1"/>
  </r>
  <r>
    <x v="1"/>
    <x v="2"/>
  </r>
  <r>
    <x v="1"/>
    <x v="0"/>
  </r>
  <r>
    <x v="1"/>
    <x v="1"/>
  </r>
  <r>
    <x v="1"/>
    <x v="0"/>
  </r>
  <r>
    <x v="1"/>
    <x v="1"/>
  </r>
  <r>
    <x v="1"/>
    <x v="2"/>
  </r>
  <r>
    <x v="0"/>
    <x v="1"/>
  </r>
  <r>
    <x v="1"/>
    <x v="0"/>
  </r>
  <r>
    <x v="0"/>
    <x v="2"/>
  </r>
  <r>
    <x v="0"/>
    <x v="1"/>
  </r>
  <r>
    <x v="1"/>
    <x v="1"/>
  </r>
  <r>
    <x v="1"/>
    <x v="1"/>
  </r>
  <r>
    <x v="1"/>
    <x v="0"/>
  </r>
  <r>
    <x v="0"/>
    <x v="0"/>
  </r>
  <r>
    <x v="1"/>
    <x v="1"/>
  </r>
  <r>
    <x v="1"/>
    <x v="2"/>
  </r>
  <r>
    <x v="1"/>
    <x v="2"/>
  </r>
  <r>
    <x v="0"/>
    <x v="0"/>
  </r>
  <r>
    <x v="0"/>
    <x v="2"/>
  </r>
  <r>
    <x v="1"/>
    <x v="0"/>
  </r>
  <r>
    <x v="1"/>
    <x v="1"/>
  </r>
  <r>
    <x v="1"/>
    <x v="0"/>
  </r>
  <r>
    <x v="1"/>
    <x v="0"/>
  </r>
  <r>
    <x v="0"/>
    <x v="1"/>
  </r>
  <r>
    <x v="1"/>
    <x v="2"/>
  </r>
  <r>
    <x v="1"/>
    <x v="0"/>
  </r>
  <r>
    <x v="1"/>
    <x v="0"/>
  </r>
  <r>
    <x v="0"/>
    <x v="1"/>
  </r>
  <r>
    <x v="0"/>
    <x v="2"/>
  </r>
  <r>
    <x v="1"/>
    <x v="0"/>
  </r>
  <r>
    <x v="0"/>
    <x v="1"/>
  </r>
  <r>
    <x v="1"/>
    <x v="0"/>
  </r>
  <r>
    <x v="1"/>
    <x v="1"/>
  </r>
  <r>
    <x v="1"/>
    <x v="2"/>
  </r>
  <r>
    <x v="1"/>
    <x v="2"/>
  </r>
  <r>
    <x v="1"/>
    <x v="2"/>
  </r>
  <r>
    <x v="0"/>
    <x v="2"/>
  </r>
  <r>
    <x v="1"/>
    <x v="0"/>
  </r>
  <r>
    <x v="1"/>
    <x v="0"/>
  </r>
  <r>
    <x v="1"/>
    <x v="2"/>
  </r>
  <r>
    <x v="1"/>
    <x v="2"/>
  </r>
  <r>
    <x v="0"/>
    <x v="2"/>
  </r>
  <r>
    <x v="1"/>
    <x v="0"/>
  </r>
  <r>
    <x v="1"/>
    <x v="2"/>
  </r>
  <r>
    <x v="0"/>
    <x v="2"/>
  </r>
  <r>
    <x v="1"/>
    <x v="2"/>
  </r>
  <r>
    <x v="1"/>
    <x v="1"/>
  </r>
  <r>
    <x v="1"/>
    <x v="2"/>
  </r>
  <r>
    <x v="1"/>
    <x v="1"/>
  </r>
  <r>
    <x v="0"/>
    <x v="1"/>
  </r>
  <r>
    <x v="0"/>
    <x v="2"/>
  </r>
  <r>
    <x v="1"/>
    <x v="1"/>
  </r>
  <r>
    <x v="0"/>
    <x v="2"/>
  </r>
  <r>
    <x v="1"/>
    <x v="0"/>
  </r>
  <r>
    <x v="1"/>
    <x v="0"/>
  </r>
  <r>
    <x v="1"/>
    <x v="0"/>
  </r>
  <r>
    <x v="1"/>
    <x v="0"/>
  </r>
  <r>
    <x v="1"/>
    <x v="1"/>
  </r>
  <r>
    <x v="2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56"/>
    <s v="Female"/>
    <n v="2"/>
    <n v="3"/>
    <s v="No"/>
    <s v="Government"/>
    <n v="2.5"/>
    <n v="12252.96"/>
    <n v="9"/>
    <x v="0"/>
  </r>
  <r>
    <n v="2"/>
    <n v="69"/>
    <s v="Male"/>
    <n v="10"/>
    <n v="3"/>
    <s v="Yes"/>
    <s v="Government"/>
    <n v="2.6"/>
    <n v="25862.01"/>
    <n v="4"/>
    <x v="1"/>
  </r>
  <r>
    <n v="3"/>
    <n v="46"/>
    <s v="Female"/>
    <n v="56"/>
    <n v="10"/>
    <s v="No"/>
    <s v="None"/>
    <n v="2.8"/>
    <n v="5659.13"/>
    <n v="4"/>
    <x v="1"/>
  </r>
  <r>
    <n v="4"/>
    <n v="32"/>
    <s v="Male"/>
    <n v="30"/>
    <n v="4"/>
    <s v="Yes"/>
    <s v="Government"/>
    <n v="4.0999999999999996"/>
    <n v="19533.310000000001"/>
    <n v="5"/>
    <x v="1"/>
  </r>
  <r>
    <n v="5"/>
    <n v="60"/>
    <s v="Male"/>
    <n v="50"/>
    <n v="19"/>
    <s v="No"/>
    <s v="Private"/>
    <n v="4.5999999999999996"/>
    <n v="24639.52"/>
    <n v="5"/>
    <x v="1"/>
  </r>
  <r>
    <n v="6"/>
    <n v="25"/>
    <s v="Female"/>
    <n v="59"/>
    <n v="10"/>
    <s v="No"/>
    <s v="Private"/>
    <n v="4.8"/>
    <n v="32785.1"/>
    <n v="5"/>
    <x v="1"/>
  </r>
  <r>
    <n v="7"/>
    <n v="78"/>
    <s v="Female"/>
    <n v="45"/>
    <n v="9"/>
    <s v="Yes"/>
    <s v="None"/>
    <n v="4.0999999999999996"/>
    <n v="47551.29"/>
    <n v="1"/>
    <x v="1"/>
  </r>
  <r>
    <n v="8"/>
    <n v="38"/>
    <s v="Female"/>
    <n v="5"/>
    <n v="7"/>
    <s v="No"/>
    <s v="Private"/>
    <n v="2.2999999999999998"/>
    <n v="30232.23"/>
    <n v="9"/>
    <x v="1"/>
  </r>
  <r>
    <n v="9"/>
    <n v="56"/>
    <s v="Male"/>
    <n v="55"/>
    <n v="5"/>
    <s v="No"/>
    <s v="Government"/>
    <n v="3.8"/>
    <n v="37307.9"/>
    <n v="2"/>
    <x v="0"/>
  </r>
  <r>
    <n v="10"/>
    <n v="75"/>
    <s v="Female"/>
    <n v="56"/>
    <n v="5"/>
    <s v="Yes"/>
    <s v="Private"/>
    <n v="2.8"/>
    <n v="25560.17"/>
    <n v="5"/>
    <x v="1"/>
  </r>
  <r>
    <n v="11"/>
    <n v="36"/>
    <s v="Male"/>
    <n v="33"/>
    <n v="7"/>
    <s v="No"/>
    <s v="None"/>
    <n v="2"/>
    <n v="31888.15"/>
    <n v="7"/>
    <x v="0"/>
  </r>
  <r>
    <n v="12"/>
    <n v="40"/>
    <s v="Male"/>
    <n v="54"/>
    <n v="14"/>
    <s v="No"/>
    <s v="Government"/>
    <n v="4.4000000000000004"/>
    <n v="4011.14"/>
    <n v="0"/>
    <x v="1"/>
  </r>
  <r>
    <n v="13"/>
    <n v="28"/>
    <s v="Male"/>
    <n v="1"/>
    <n v="13"/>
    <s v="No"/>
    <s v="None"/>
    <n v="1.2"/>
    <n v="13092.38"/>
    <n v="0"/>
    <x v="1"/>
  </r>
  <r>
    <n v="14"/>
    <n v="28"/>
    <s v="Female"/>
    <n v="18"/>
    <n v="10"/>
    <s v="Yes"/>
    <s v="Government"/>
    <n v="4.5999999999999996"/>
    <n v="18411.73"/>
    <n v="1"/>
    <x v="1"/>
  </r>
  <r>
    <n v="15"/>
    <n v="41"/>
    <s v="Female"/>
    <n v="32"/>
    <n v="11"/>
    <s v="No"/>
    <s v="Private"/>
    <n v="2.8"/>
    <n v="23888.42"/>
    <n v="5"/>
    <x v="1"/>
  </r>
  <r>
    <n v="16"/>
    <n v="70"/>
    <s v="Male"/>
    <n v="47"/>
    <n v="12"/>
    <s v="No"/>
    <s v="None"/>
    <n v="3.5"/>
    <n v="2759.61"/>
    <n v="8"/>
    <x v="1"/>
  </r>
  <r>
    <n v="17"/>
    <n v="53"/>
    <s v="Male"/>
    <n v="49"/>
    <n v="7"/>
    <s v="No"/>
    <s v="None"/>
    <n v="3.6"/>
    <n v="7431.19"/>
    <n v="3"/>
    <x v="1"/>
  </r>
  <r>
    <n v="18"/>
    <n v="57"/>
    <s v="Female"/>
    <n v="11"/>
    <n v="17"/>
    <s v="No"/>
    <s v="Government"/>
    <n v="4.5999999999999996"/>
    <n v="14202.31"/>
    <n v="2"/>
    <x v="1"/>
  </r>
  <r>
    <n v="19"/>
    <n v="41"/>
    <s v="Male"/>
    <n v="21"/>
    <n v="0"/>
    <s v="Yes"/>
    <s v="None"/>
    <n v="3.5"/>
    <n v="48590.87"/>
    <n v="7"/>
    <x v="1"/>
  </r>
  <r>
    <n v="20"/>
    <n v="20"/>
    <s v="Female"/>
    <n v="26"/>
    <n v="14"/>
    <s v="Yes"/>
    <s v="Government"/>
    <n v="3.5"/>
    <n v="16901.68"/>
    <n v="9"/>
    <x v="0"/>
  </r>
  <r>
    <n v="21"/>
    <n v="39"/>
    <s v="Male"/>
    <n v="25"/>
    <n v="7"/>
    <s v="No"/>
    <s v="Government"/>
    <n v="1.3"/>
    <n v="24361.03"/>
    <n v="8"/>
    <x v="0"/>
  </r>
  <r>
    <n v="22"/>
    <n v="70"/>
    <s v="Female"/>
    <n v="22"/>
    <n v="10"/>
    <s v="No"/>
    <s v="Government"/>
    <n v="3.1"/>
    <n v="10206.84"/>
    <n v="4"/>
    <x v="1"/>
  </r>
  <r>
    <n v="23"/>
    <n v="19"/>
    <s v="Male"/>
    <n v="59"/>
    <n v="11"/>
    <s v="Yes"/>
    <s v="Government"/>
    <n v="1.6"/>
    <n v="30733.61"/>
    <n v="8"/>
    <x v="1"/>
  </r>
  <r>
    <n v="24"/>
    <n v="41"/>
    <s v="Female"/>
    <n v="27"/>
    <n v="11"/>
    <s v="Yes"/>
    <s v="Private"/>
    <n v="3.9"/>
    <n v="14393.82"/>
    <n v="1"/>
    <x v="1"/>
  </r>
  <r>
    <n v="25"/>
    <n v="61"/>
    <s v="Male"/>
    <n v="49"/>
    <n v="3"/>
    <s v="No"/>
    <s v="Government"/>
    <n v="3"/>
    <n v="10746.13"/>
    <n v="2"/>
    <x v="1"/>
  </r>
  <r>
    <n v="26"/>
    <n v="47"/>
    <s v="Female"/>
    <n v="13"/>
    <n v="15"/>
    <s v="Yes"/>
    <s v="None"/>
    <n v="3.7"/>
    <n v="26070.35"/>
    <n v="6"/>
    <x v="1"/>
  </r>
  <r>
    <n v="27"/>
    <n v="55"/>
    <s v="Female"/>
    <n v="33"/>
    <n v="3"/>
    <s v="No"/>
    <s v="Private"/>
    <n v="1.2"/>
    <n v="772.54"/>
    <n v="6"/>
    <x v="1"/>
  </r>
  <r>
    <n v="28"/>
    <n v="19"/>
    <s v="Male"/>
    <n v="34"/>
    <n v="4"/>
    <s v="Yes"/>
    <s v="None"/>
    <n v="1.3"/>
    <n v="879.37"/>
    <n v="5"/>
    <x v="1"/>
  </r>
  <r>
    <n v="29"/>
    <n v="77"/>
    <s v="Male"/>
    <n v="41"/>
    <n v="4"/>
    <s v="Yes"/>
    <s v="Private"/>
    <n v="3.9"/>
    <n v="11343.91"/>
    <n v="5"/>
    <x v="1"/>
  </r>
  <r>
    <n v="30"/>
    <n v="38"/>
    <s v="Female"/>
    <n v="35"/>
    <n v="7"/>
    <s v="Yes"/>
    <s v="Government"/>
    <n v="1.3"/>
    <n v="2317.71"/>
    <n v="1"/>
    <x v="1"/>
  </r>
  <r>
    <n v="31"/>
    <n v="50"/>
    <s v="Male"/>
    <n v="1"/>
    <n v="9"/>
    <s v="Yes"/>
    <s v="Private"/>
    <n v="1.3"/>
    <n v="5847.27"/>
    <n v="9"/>
    <x v="0"/>
  </r>
  <r>
    <n v="32"/>
    <n v="29"/>
    <s v="Female"/>
    <n v="21"/>
    <n v="16"/>
    <s v="No"/>
    <s v="Private"/>
    <n v="1"/>
    <n v="17273.599999999999"/>
    <n v="5"/>
    <x v="0"/>
  </r>
  <r>
    <n v="33"/>
    <n v="75"/>
    <s v="Male"/>
    <n v="48"/>
    <n v="8"/>
    <s v="Yes"/>
    <s v="None"/>
    <n v="4.8"/>
    <n v="40227.99"/>
    <n v="3"/>
    <x v="1"/>
  </r>
  <r>
    <n v="34"/>
    <n v="39"/>
    <s v="Female"/>
    <n v="55"/>
    <n v="18"/>
    <s v="Yes"/>
    <s v="None"/>
    <n v="4"/>
    <n v="28816.41"/>
    <n v="2"/>
    <x v="0"/>
  </r>
  <r>
    <n v="35"/>
    <n v="78"/>
    <s v="Female"/>
    <n v="6"/>
    <n v="13"/>
    <s v="No"/>
    <s v="Government"/>
    <n v="2.4"/>
    <n v="25877.05"/>
    <n v="1"/>
    <x v="0"/>
  </r>
  <r>
    <n v="36"/>
    <n v="61"/>
    <s v="Female"/>
    <n v="28"/>
    <n v="7"/>
    <s v="Yes"/>
    <s v="Private"/>
    <n v="2.2000000000000002"/>
    <n v="15027.7"/>
    <n v="0"/>
    <x v="1"/>
  </r>
  <r>
    <n v="37"/>
    <n v="42"/>
    <s v="Female"/>
    <n v="17"/>
    <n v="8"/>
    <s v="Yes"/>
    <s v="Private"/>
    <n v="2.4"/>
    <n v="46621.81"/>
    <n v="4"/>
    <x v="1"/>
  </r>
  <r>
    <n v="38"/>
    <n v="66"/>
    <s v="Female"/>
    <n v="5"/>
    <n v="10"/>
    <s v="No"/>
    <s v="Private"/>
    <n v="4.0999999999999996"/>
    <n v="20152.240000000002"/>
    <n v="1"/>
    <x v="1"/>
  </r>
  <r>
    <n v="39"/>
    <n v="44"/>
    <s v="Female"/>
    <n v="31"/>
    <n v="0"/>
    <s v="Yes"/>
    <s v="Government"/>
    <n v="3.6"/>
    <n v="4811.09"/>
    <n v="1"/>
    <x v="0"/>
  </r>
  <r>
    <n v="40"/>
    <n v="76"/>
    <s v="Male"/>
    <n v="5"/>
    <n v="13"/>
    <s v="No"/>
    <s v="Government"/>
    <n v="1.7"/>
    <n v="31044.79"/>
    <n v="6"/>
    <x v="0"/>
  </r>
  <r>
    <n v="41"/>
    <n v="59"/>
    <s v="Male"/>
    <n v="38"/>
    <n v="4"/>
    <s v="No"/>
    <s v="Government"/>
    <n v="1.7"/>
    <n v="6135"/>
    <n v="7"/>
    <x v="1"/>
  </r>
  <r>
    <n v="42"/>
    <n v="45"/>
    <s v="Male"/>
    <n v="3"/>
    <n v="13"/>
    <s v="No"/>
    <s v="Government"/>
    <n v="1.4"/>
    <n v="17588.55"/>
    <n v="9"/>
    <x v="1"/>
  </r>
  <r>
    <n v="43"/>
    <n v="77"/>
    <s v="Female"/>
    <n v="53"/>
    <n v="3"/>
    <s v="No"/>
    <s v="Government"/>
    <n v="3.6"/>
    <n v="25616.89"/>
    <n v="7"/>
    <x v="1"/>
  </r>
  <r>
    <n v="44"/>
    <n v="33"/>
    <s v="Female"/>
    <n v="23"/>
    <n v="0"/>
    <s v="Yes"/>
    <s v="None"/>
    <n v="4.0999999999999996"/>
    <n v="43774.01"/>
    <n v="3"/>
    <x v="1"/>
  </r>
  <r>
    <n v="45"/>
    <n v="32"/>
    <s v="Female"/>
    <n v="37"/>
    <n v="18"/>
    <s v="No"/>
    <s v="Private"/>
    <n v="2.1"/>
    <n v="24930.560000000001"/>
    <n v="0"/>
    <x v="1"/>
  </r>
  <r>
    <n v="46"/>
    <n v="79"/>
    <s v="Female"/>
    <n v="53"/>
    <n v="7"/>
    <s v="Yes"/>
    <s v="Private"/>
    <n v="1.1000000000000001"/>
    <n v="35261.81"/>
    <n v="6"/>
    <x v="0"/>
  </r>
  <r>
    <n v="47"/>
    <n v="79"/>
    <s v="Male"/>
    <n v="37"/>
    <n v="14"/>
    <s v="Yes"/>
    <s v="Private"/>
    <n v="1.3"/>
    <n v="49644.43"/>
    <n v="0"/>
    <x v="1"/>
  </r>
  <r>
    <n v="48"/>
    <n v="64"/>
    <s v="Male"/>
    <n v="10"/>
    <n v="14"/>
    <s v="Yes"/>
    <s v="Private"/>
    <n v="4.9000000000000004"/>
    <n v="7008.71"/>
    <n v="3"/>
    <x v="0"/>
  </r>
  <r>
    <n v="49"/>
    <n v="79"/>
    <s v="Female"/>
    <n v="10"/>
    <n v="8"/>
    <s v="Yes"/>
    <s v="Private"/>
    <n v="2.2000000000000002"/>
    <n v="14099.21"/>
    <n v="7"/>
    <x v="0"/>
  </r>
  <r>
    <n v="50"/>
    <n v="68"/>
    <s v="Male"/>
    <n v="19"/>
    <n v="8"/>
    <s v="Yes"/>
    <s v="Private"/>
    <n v="4.0999999999999996"/>
    <n v="20031.52"/>
    <n v="1"/>
    <x v="1"/>
  </r>
  <r>
    <n v="51"/>
    <n v="61"/>
    <s v="Male"/>
    <n v="17"/>
    <n v="9"/>
    <s v="Yes"/>
    <s v="Private"/>
    <n v="3.5"/>
    <n v="21380.49"/>
    <n v="5"/>
    <x v="1"/>
  </r>
  <r>
    <n v="52"/>
    <n v="72"/>
    <s v="Female"/>
    <n v="21"/>
    <n v="19"/>
    <s v="Yes"/>
    <s v="Private"/>
    <n v="2.5"/>
    <n v="20845.54"/>
    <n v="5"/>
    <x v="1"/>
  </r>
  <r>
    <n v="53"/>
    <n v="69"/>
    <s v="Male"/>
    <n v="14"/>
    <n v="8"/>
    <s v="Yes"/>
    <s v="None"/>
    <n v="1.8"/>
    <n v="45426.74"/>
    <n v="8"/>
    <x v="1"/>
  </r>
  <r>
    <n v="54"/>
    <n v="74"/>
    <s v="Female"/>
    <n v="9"/>
    <n v="2"/>
    <s v="Yes"/>
    <s v="Private"/>
    <n v="1.5"/>
    <n v="35844.620000000003"/>
    <n v="4"/>
    <x v="1"/>
  </r>
  <r>
    <n v="55"/>
    <n v="20"/>
    <s v="Male"/>
    <n v="46"/>
    <n v="19"/>
    <s v="Yes"/>
    <s v="None"/>
    <n v="3.5"/>
    <n v="30591.31"/>
    <n v="9"/>
    <x v="1"/>
  </r>
  <r>
    <n v="56"/>
    <n v="54"/>
    <s v="Female"/>
    <n v="1"/>
    <n v="10"/>
    <s v="No"/>
    <s v="Government"/>
    <n v="4.0999999999999996"/>
    <n v="15813.95"/>
    <n v="3"/>
    <x v="1"/>
  </r>
  <r>
    <n v="57"/>
    <n v="68"/>
    <s v="Female"/>
    <n v="51"/>
    <n v="5"/>
    <s v="No"/>
    <s v="Private"/>
    <n v="3.6"/>
    <n v="41277.620000000003"/>
    <n v="4"/>
    <x v="1"/>
  </r>
  <r>
    <n v="58"/>
    <n v="24"/>
    <s v="Female"/>
    <n v="45"/>
    <n v="1"/>
    <s v="No"/>
    <s v="Government"/>
    <n v="3.1"/>
    <n v="47775.5"/>
    <n v="9"/>
    <x v="1"/>
  </r>
  <r>
    <n v="59"/>
    <n v="38"/>
    <s v="Female"/>
    <n v="13"/>
    <n v="6"/>
    <s v="Yes"/>
    <s v="Government"/>
    <n v="1.2"/>
    <n v="41149.31"/>
    <n v="4"/>
    <x v="1"/>
  </r>
  <r>
    <n v="60"/>
    <n v="26"/>
    <s v="Male"/>
    <n v="4"/>
    <n v="17"/>
    <s v="No"/>
    <s v="Government"/>
    <n v="4.9000000000000004"/>
    <n v="577.47"/>
    <n v="7"/>
    <x v="1"/>
  </r>
  <r>
    <n v="61"/>
    <n v="56"/>
    <s v="Female"/>
    <n v="1"/>
    <n v="1"/>
    <s v="No"/>
    <s v="None"/>
    <n v="4.2"/>
    <n v="32001.87"/>
    <n v="9"/>
    <x v="1"/>
  </r>
  <r>
    <n v="62"/>
    <n v="35"/>
    <s v="Female"/>
    <n v="49"/>
    <n v="16"/>
    <s v="No"/>
    <s v="Government"/>
    <n v="2.2000000000000002"/>
    <n v="3031.2"/>
    <n v="7"/>
    <x v="1"/>
  </r>
  <r>
    <n v="63"/>
    <n v="21"/>
    <s v="Female"/>
    <n v="40"/>
    <n v="10"/>
    <s v="Yes"/>
    <s v="Government"/>
    <n v="4.9000000000000004"/>
    <n v="13251.56"/>
    <n v="1"/>
    <x v="1"/>
  </r>
  <r>
    <n v="64"/>
    <n v="42"/>
    <s v="Male"/>
    <n v="32"/>
    <n v="11"/>
    <s v="Yes"/>
    <s v="Government"/>
    <n v="3.4"/>
    <n v="3446.47"/>
    <n v="6"/>
    <x v="1"/>
  </r>
  <r>
    <n v="65"/>
    <n v="77"/>
    <s v="Female"/>
    <n v="34"/>
    <n v="18"/>
    <s v="Yes"/>
    <s v="Private"/>
    <n v="3.3"/>
    <n v="30387.87"/>
    <n v="7"/>
    <x v="1"/>
  </r>
  <r>
    <n v="66"/>
    <n v="31"/>
    <s v="Male"/>
    <n v="28"/>
    <n v="6"/>
    <s v="Yes"/>
    <s v="Private"/>
    <n v="4"/>
    <n v="34486.199999999997"/>
    <n v="5"/>
    <x v="1"/>
  </r>
  <r>
    <n v="67"/>
    <n v="67"/>
    <s v="Female"/>
    <n v="31"/>
    <n v="19"/>
    <s v="No"/>
    <s v="None"/>
    <n v="4.2"/>
    <n v="6167.14"/>
    <n v="4"/>
    <x v="1"/>
  </r>
  <r>
    <n v="68"/>
    <n v="75"/>
    <s v="Male"/>
    <n v="8"/>
    <n v="5"/>
    <s v="No"/>
    <s v="None"/>
    <n v="3.6"/>
    <n v="19500.02"/>
    <n v="8"/>
    <x v="0"/>
  </r>
  <r>
    <n v="69"/>
    <n v="26"/>
    <s v="Male"/>
    <n v="39"/>
    <n v="0"/>
    <s v="No"/>
    <s v="Private"/>
    <n v="1.5"/>
    <n v="23083.71"/>
    <n v="2"/>
    <x v="1"/>
  </r>
  <r>
    <n v="70"/>
    <n v="43"/>
    <s v="Female"/>
    <n v="26"/>
    <n v="16"/>
    <s v="No"/>
    <s v="None"/>
    <n v="2.4"/>
    <n v="18768.12"/>
    <n v="9"/>
    <x v="1"/>
  </r>
  <r>
    <n v="71"/>
    <n v="70"/>
    <s v="Male"/>
    <n v="58"/>
    <n v="10"/>
    <s v="Yes"/>
    <s v="Private"/>
    <n v="4.7"/>
    <n v="6490.74"/>
    <n v="3"/>
    <x v="1"/>
  </r>
  <r>
    <n v="72"/>
    <n v="19"/>
    <s v="Female"/>
    <n v="34"/>
    <n v="17"/>
    <s v="Yes"/>
    <s v="Government"/>
    <n v="1.9"/>
    <n v="21237.919999999998"/>
    <n v="8"/>
    <x v="1"/>
  </r>
  <r>
    <n v="73"/>
    <n v="37"/>
    <s v="Female"/>
    <n v="54"/>
    <n v="16"/>
    <s v="Yes"/>
    <s v="Government"/>
    <n v="2.5"/>
    <n v="37683.31"/>
    <n v="5"/>
    <x v="1"/>
  </r>
  <r>
    <n v="74"/>
    <n v="45"/>
    <s v="Female"/>
    <n v="54"/>
    <n v="6"/>
    <s v="No"/>
    <s v="None"/>
    <n v="2.7"/>
    <n v="4014.88"/>
    <n v="7"/>
    <x v="1"/>
  </r>
  <r>
    <n v="75"/>
    <n v="64"/>
    <s v="Male"/>
    <n v="3"/>
    <n v="16"/>
    <s v="Yes"/>
    <s v="Private"/>
    <n v="2.8"/>
    <n v="4468.91"/>
    <n v="6"/>
    <x v="1"/>
  </r>
  <r>
    <n v="76"/>
    <n v="77"/>
    <s v="Male"/>
    <n v="59"/>
    <n v="19"/>
    <s v="Yes"/>
    <s v="Private"/>
    <n v="3.5"/>
    <n v="18061.18"/>
    <n v="1"/>
    <x v="1"/>
  </r>
  <r>
    <n v="77"/>
    <n v="24"/>
    <s v="Female"/>
    <n v="50"/>
    <n v="8"/>
    <s v="No"/>
    <s v="None"/>
    <n v="4.8"/>
    <n v="47115.42"/>
    <n v="2"/>
    <x v="1"/>
  </r>
  <r>
    <n v="78"/>
    <n v="61"/>
    <s v="Female"/>
    <n v="12"/>
    <n v="16"/>
    <s v="No"/>
    <s v="Private"/>
    <n v="2"/>
    <n v="33594.35"/>
    <n v="0"/>
    <x v="1"/>
  </r>
  <r>
    <n v="79"/>
    <n v="78"/>
    <s v="Male"/>
    <n v="1"/>
    <n v="19"/>
    <s v="Yes"/>
    <s v="Government"/>
    <n v="1.5"/>
    <n v="34094.160000000003"/>
    <n v="8"/>
    <x v="1"/>
  </r>
  <r>
    <n v="80"/>
    <n v="25"/>
    <s v="Female"/>
    <n v="54"/>
    <n v="7"/>
    <s v="Yes"/>
    <s v="None"/>
    <n v="1.8"/>
    <n v="18415.04"/>
    <n v="6"/>
    <x v="0"/>
  </r>
  <r>
    <n v="81"/>
    <n v="64"/>
    <s v="Female"/>
    <n v="44"/>
    <n v="16"/>
    <s v="Yes"/>
    <s v="None"/>
    <n v="4.5"/>
    <n v="29886.21"/>
    <n v="0"/>
    <x v="1"/>
  </r>
  <r>
    <n v="82"/>
    <n v="52"/>
    <s v="Female"/>
    <n v="5"/>
    <n v="6"/>
    <s v="Yes"/>
    <s v="Private"/>
    <n v="3.6"/>
    <n v="1001.49"/>
    <n v="2"/>
    <x v="1"/>
  </r>
  <r>
    <n v="83"/>
    <n v="31"/>
    <s v="Male"/>
    <n v="30"/>
    <n v="0"/>
    <s v="Yes"/>
    <s v="None"/>
    <n v="2.1"/>
    <n v="31986.75"/>
    <n v="3"/>
    <x v="1"/>
  </r>
  <r>
    <n v="84"/>
    <n v="34"/>
    <s v="Male"/>
    <n v="30"/>
    <n v="12"/>
    <s v="Yes"/>
    <s v="Private"/>
    <n v="4.3"/>
    <n v="45707.7"/>
    <n v="3"/>
    <x v="1"/>
  </r>
  <r>
    <n v="85"/>
    <n v="53"/>
    <s v="Male"/>
    <n v="59"/>
    <n v="18"/>
    <s v="No"/>
    <s v="Private"/>
    <n v="4.4000000000000004"/>
    <n v="30822.39"/>
    <n v="4"/>
    <x v="1"/>
  </r>
  <r>
    <n v="86"/>
    <n v="67"/>
    <s v="Female"/>
    <n v="57"/>
    <n v="18"/>
    <s v="No"/>
    <s v="Private"/>
    <n v="4.4000000000000004"/>
    <n v="43748.08"/>
    <n v="2"/>
    <x v="1"/>
  </r>
  <r>
    <n v="87"/>
    <n v="57"/>
    <s v="Female"/>
    <n v="17"/>
    <n v="16"/>
    <s v="No"/>
    <s v="Private"/>
    <n v="4.7"/>
    <n v="36336.67"/>
    <n v="2"/>
    <x v="1"/>
  </r>
  <r>
    <n v="88"/>
    <n v="21"/>
    <s v="Female"/>
    <n v="48"/>
    <n v="12"/>
    <s v="Yes"/>
    <s v="Private"/>
    <n v="2"/>
    <n v="6467.64"/>
    <n v="0"/>
    <x v="1"/>
  </r>
  <r>
    <n v="89"/>
    <n v="19"/>
    <s v="Male"/>
    <n v="47"/>
    <n v="15"/>
    <s v="No"/>
    <s v="None"/>
    <n v="4"/>
    <n v="45171.44"/>
    <n v="6"/>
    <x v="1"/>
  </r>
  <r>
    <n v="90"/>
    <n v="79"/>
    <s v="Female"/>
    <n v="23"/>
    <n v="7"/>
    <s v="Yes"/>
    <s v="Government"/>
    <n v="2.8"/>
    <n v="3788.97"/>
    <n v="9"/>
    <x v="1"/>
  </r>
  <r>
    <n v="91"/>
    <n v="23"/>
    <s v="Female"/>
    <n v="15"/>
    <n v="18"/>
    <s v="Yes"/>
    <s v="Government"/>
    <n v="4.4000000000000004"/>
    <n v="26931.39"/>
    <n v="0"/>
    <x v="0"/>
  </r>
  <r>
    <n v="92"/>
    <n v="71"/>
    <s v="Female"/>
    <n v="37"/>
    <n v="17"/>
    <s v="No"/>
    <s v="None"/>
    <n v="3.9"/>
    <n v="7535.79"/>
    <n v="1"/>
    <x v="1"/>
  </r>
  <r>
    <n v="93"/>
    <n v="59"/>
    <s v="Female"/>
    <n v="21"/>
    <n v="0"/>
    <s v="Yes"/>
    <s v="None"/>
    <n v="4.0999999999999996"/>
    <n v="1079.48"/>
    <n v="3"/>
    <x v="1"/>
  </r>
  <r>
    <n v="94"/>
    <n v="21"/>
    <s v="Male"/>
    <n v="14"/>
    <n v="13"/>
    <s v="Yes"/>
    <s v="Government"/>
    <n v="3.6"/>
    <n v="21390.7"/>
    <n v="3"/>
    <x v="1"/>
  </r>
  <r>
    <n v="95"/>
    <n v="71"/>
    <s v="Male"/>
    <n v="2"/>
    <n v="18"/>
    <s v="No"/>
    <s v="Government"/>
    <n v="1.7"/>
    <n v="15104.52"/>
    <n v="4"/>
    <x v="1"/>
  </r>
  <r>
    <n v="96"/>
    <n v="46"/>
    <s v="Female"/>
    <n v="11"/>
    <n v="14"/>
    <s v="No"/>
    <s v="Government"/>
    <n v="3.2"/>
    <n v="24557.02"/>
    <n v="1"/>
    <x v="1"/>
  </r>
  <r>
    <n v="97"/>
    <n v="35"/>
    <s v="Male"/>
    <n v="51"/>
    <n v="17"/>
    <s v="No"/>
    <s v="Government"/>
    <n v="4.9000000000000004"/>
    <n v="29071.39"/>
    <n v="3"/>
    <x v="1"/>
  </r>
  <r>
    <n v="98"/>
    <n v="43"/>
    <s v="Male"/>
    <n v="39"/>
    <n v="1"/>
    <s v="Yes"/>
    <s v="Government"/>
    <n v="4.7"/>
    <n v="2665.08"/>
    <n v="0"/>
    <x v="1"/>
  </r>
  <r>
    <n v="99"/>
    <n v="61"/>
    <s v="Female"/>
    <n v="38"/>
    <n v="16"/>
    <s v="No"/>
    <s v="Private"/>
    <n v="1.2"/>
    <n v="6588.66"/>
    <n v="1"/>
    <x v="1"/>
  </r>
  <r>
    <n v="100"/>
    <n v="51"/>
    <s v="Female"/>
    <n v="34"/>
    <n v="17"/>
    <s v="No"/>
    <s v="None"/>
    <n v="1.7"/>
    <n v="28152.799999999999"/>
    <n v="0"/>
    <x v="1"/>
  </r>
  <r>
    <n v="101"/>
    <n v="27"/>
    <s v="Male"/>
    <n v="38"/>
    <n v="5"/>
    <s v="Yes"/>
    <s v="Private"/>
    <n v="1.5"/>
    <n v="17486.78"/>
    <n v="9"/>
    <x v="1"/>
  </r>
  <r>
    <n v="102"/>
    <n v="79"/>
    <s v="Female"/>
    <n v="50"/>
    <n v="18"/>
    <s v="No"/>
    <s v="Government"/>
    <n v="3.9"/>
    <n v="36594.089999999997"/>
    <n v="9"/>
    <x v="0"/>
  </r>
  <r>
    <n v="103"/>
    <n v="53"/>
    <s v="Male"/>
    <n v="34"/>
    <n v="3"/>
    <s v="No"/>
    <s v="Government"/>
    <n v="4.3"/>
    <n v="32788.44"/>
    <n v="3"/>
    <x v="1"/>
  </r>
  <r>
    <n v="104"/>
    <n v="31"/>
    <s v="Female"/>
    <n v="18"/>
    <n v="0"/>
    <s v="No"/>
    <s v="Government"/>
    <n v="1.9"/>
    <n v="42357.42"/>
    <n v="3"/>
    <x v="1"/>
  </r>
  <r>
    <n v="105"/>
    <n v="48"/>
    <s v="Male"/>
    <n v="30"/>
    <n v="7"/>
    <s v="Yes"/>
    <s v="Private"/>
    <n v="3"/>
    <n v="34778.39"/>
    <n v="6"/>
    <x v="1"/>
  </r>
  <r>
    <n v="106"/>
    <n v="65"/>
    <s v="Female"/>
    <n v="15"/>
    <n v="6"/>
    <s v="Yes"/>
    <s v="Private"/>
    <n v="4.4000000000000004"/>
    <n v="21781.59"/>
    <n v="9"/>
    <x v="1"/>
  </r>
  <r>
    <n v="107"/>
    <n v="32"/>
    <s v="Male"/>
    <n v="27"/>
    <n v="2"/>
    <s v="Yes"/>
    <s v="Government"/>
    <n v="3.9"/>
    <n v="33811.85"/>
    <n v="8"/>
    <x v="0"/>
  </r>
  <r>
    <n v="108"/>
    <n v="25"/>
    <s v="Male"/>
    <n v="51"/>
    <n v="9"/>
    <s v="Yes"/>
    <s v="Private"/>
    <n v="3.2"/>
    <n v="14131.37"/>
    <n v="8"/>
    <x v="1"/>
  </r>
  <r>
    <n v="109"/>
    <n v="31"/>
    <s v="Male"/>
    <n v="34"/>
    <n v="9"/>
    <s v="No"/>
    <s v="Private"/>
    <n v="3.4"/>
    <n v="15662.52"/>
    <n v="4"/>
    <x v="1"/>
  </r>
  <r>
    <n v="110"/>
    <n v="40"/>
    <s v="Female"/>
    <n v="52"/>
    <n v="18"/>
    <s v="Yes"/>
    <s v="Government"/>
    <n v="3"/>
    <n v="39554.769999999997"/>
    <n v="9"/>
    <x v="1"/>
  </r>
  <r>
    <n v="111"/>
    <n v="77"/>
    <s v="Male"/>
    <n v="57"/>
    <n v="13"/>
    <s v="Yes"/>
    <s v="Private"/>
    <n v="2.2000000000000002"/>
    <n v="22597.77"/>
    <n v="0"/>
    <x v="1"/>
  </r>
  <r>
    <n v="112"/>
    <n v="74"/>
    <s v="Male"/>
    <n v="38"/>
    <n v="1"/>
    <s v="No"/>
    <s v="None"/>
    <n v="3.3"/>
    <n v="40019.83"/>
    <n v="0"/>
    <x v="1"/>
  </r>
  <r>
    <n v="113"/>
    <n v="79"/>
    <s v="Female"/>
    <n v="33"/>
    <n v="0"/>
    <s v="No"/>
    <s v="None"/>
    <n v="3.8"/>
    <n v="41209.910000000003"/>
    <n v="5"/>
    <x v="1"/>
  </r>
  <r>
    <n v="114"/>
    <n v="57"/>
    <s v="Female"/>
    <n v="24"/>
    <n v="17"/>
    <s v="No"/>
    <s v="None"/>
    <n v="4.5"/>
    <n v="42949.34"/>
    <n v="1"/>
    <x v="1"/>
  </r>
  <r>
    <n v="115"/>
    <n v="38"/>
    <s v="Male"/>
    <n v="15"/>
    <n v="6"/>
    <s v="Yes"/>
    <s v="None"/>
    <n v="3.5"/>
    <n v="45873.440000000002"/>
    <n v="7"/>
    <x v="1"/>
  </r>
  <r>
    <n v="116"/>
    <n v="33"/>
    <s v="Male"/>
    <n v="30"/>
    <n v="7"/>
    <s v="Yes"/>
    <s v="Government"/>
    <n v="4"/>
    <n v="21833.77"/>
    <n v="8"/>
    <x v="1"/>
  </r>
  <r>
    <n v="117"/>
    <n v="62"/>
    <s v="Female"/>
    <n v="55"/>
    <n v="0"/>
    <s v="Yes"/>
    <s v="Government"/>
    <n v="1.6"/>
    <n v="16283.91"/>
    <n v="3"/>
    <x v="0"/>
  </r>
  <r>
    <n v="118"/>
    <n v="35"/>
    <s v="Female"/>
    <n v="42"/>
    <n v="2"/>
    <s v="No"/>
    <s v="Government"/>
    <n v="2.8"/>
    <n v="29318.84"/>
    <n v="4"/>
    <x v="0"/>
  </r>
  <r>
    <n v="119"/>
    <n v="64"/>
    <s v="Female"/>
    <n v="51"/>
    <n v="7"/>
    <s v="No"/>
    <s v="None"/>
    <n v="1"/>
    <n v="18873.03"/>
    <n v="7"/>
    <x v="0"/>
  </r>
  <r>
    <n v="120"/>
    <n v="70"/>
    <s v="Female"/>
    <n v="17"/>
    <n v="14"/>
    <s v="Yes"/>
    <s v="None"/>
    <n v="2"/>
    <n v="30253.17"/>
    <n v="2"/>
    <x v="1"/>
  </r>
  <r>
    <n v="121"/>
    <n v="41"/>
    <s v="Female"/>
    <n v="5"/>
    <n v="4"/>
    <s v="No"/>
    <s v="Private"/>
    <n v="3.9"/>
    <n v="35426.5"/>
    <n v="4"/>
    <x v="1"/>
  </r>
  <r>
    <n v="122"/>
    <n v="43"/>
    <s v="Male"/>
    <n v="29"/>
    <n v="2"/>
    <s v="No"/>
    <s v="Private"/>
    <n v="5"/>
    <n v="34576.050000000003"/>
    <n v="2"/>
    <x v="0"/>
  </r>
  <r>
    <n v="123"/>
    <n v="42"/>
    <s v="Female"/>
    <n v="4"/>
    <n v="18"/>
    <s v="No"/>
    <s v="None"/>
    <n v="1.4"/>
    <n v="19040.37"/>
    <n v="9"/>
    <x v="1"/>
  </r>
  <r>
    <n v="124"/>
    <n v="77"/>
    <s v="Male"/>
    <n v="10"/>
    <n v="0"/>
    <s v="Yes"/>
    <s v="None"/>
    <n v="2.6"/>
    <n v="8759.58"/>
    <n v="2"/>
    <x v="1"/>
  </r>
  <r>
    <n v="125"/>
    <n v="77"/>
    <s v="Male"/>
    <n v="56"/>
    <n v="14"/>
    <s v="No"/>
    <s v="None"/>
    <n v="4.2"/>
    <n v="21811.200000000001"/>
    <n v="2"/>
    <x v="0"/>
  </r>
  <r>
    <n v="126"/>
    <n v="77"/>
    <s v="Male"/>
    <n v="17"/>
    <n v="7"/>
    <s v="No"/>
    <s v="None"/>
    <n v="1.8"/>
    <n v="7558.41"/>
    <n v="6"/>
    <x v="0"/>
  </r>
  <r>
    <n v="127"/>
    <n v="62"/>
    <s v="Female"/>
    <n v="10"/>
    <n v="1"/>
    <s v="Yes"/>
    <s v="Private"/>
    <n v="3.2"/>
    <n v="44559.8"/>
    <n v="6"/>
    <x v="1"/>
  </r>
  <r>
    <n v="128"/>
    <n v="58"/>
    <s v="Male"/>
    <n v="17"/>
    <n v="2"/>
    <s v="Yes"/>
    <s v="None"/>
    <n v="3.9"/>
    <n v="17620.93"/>
    <n v="6"/>
    <x v="1"/>
  </r>
  <r>
    <n v="129"/>
    <n v="46"/>
    <s v="Male"/>
    <n v="20"/>
    <n v="13"/>
    <s v="No"/>
    <s v="Private"/>
    <n v="3.5"/>
    <n v="8145.76"/>
    <n v="9"/>
    <x v="1"/>
  </r>
  <r>
    <n v="130"/>
    <n v="32"/>
    <s v="Female"/>
    <n v="24"/>
    <n v="13"/>
    <s v="No"/>
    <s v="None"/>
    <n v="1.8"/>
    <n v="1759.66"/>
    <n v="7"/>
    <x v="0"/>
  </r>
  <r>
    <n v="131"/>
    <n v="62"/>
    <s v="Male"/>
    <n v="5"/>
    <n v="10"/>
    <s v="Yes"/>
    <s v="None"/>
    <n v="2.4"/>
    <n v="32468.21"/>
    <n v="4"/>
    <x v="0"/>
  </r>
  <r>
    <n v="132"/>
    <n v="18"/>
    <s v="Male"/>
    <n v="34"/>
    <n v="15"/>
    <s v="Yes"/>
    <s v="None"/>
    <n v="4.0999999999999996"/>
    <n v="32026.66"/>
    <n v="4"/>
    <x v="1"/>
  </r>
  <r>
    <n v="133"/>
    <n v="42"/>
    <s v="Female"/>
    <n v="6"/>
    <n v="3"/>
    <s v="No"/>
    <s v="Private"/>
    <n v="3.2"/>
    <n v="17359.91"/>
    <n v="3"/>
    <x v="1"/>
  </r>
  <r>
    <n v="134"/>
    <n v="24"/>
    <s v="Male"/>
    <n v="53"/>
    <n v="19"/>
    <s v="No"/>
    <s v="Private"/>
    <n v="1"/>
    <n v="4049.74"/>
    <n v="6"/>
    <x v="0"/>
  </r>
  <r>
    <n v="135"/>
    <n v="26"/>
    <s v="Male"/>
    <n v="2"/>
    <n v="4"/>
    <s v="No"/>
    <s v="Government"/>
    <n v="4"/>
    <n v="20776.63"/>
    <n v="9"/>
    <x v="1"/>
  </r>
  <r>
    <n v="136"/>
    <n v="41"/>
    <s v="Male"/>
    <n v="13"/>
    <n v="13"/>
    <s v="No"/>
    <s v="None"/>
    <n v="1.1000000000000001"/>
    <n v="15905.27"/>
    <n v="3"/>
    <x v="1"/>
  </r>
  <r>
    <n v="137"/>
    <n v="18"/>
    <s v="Female"/>
    <n v="43"/>
    <n v="15"/>
    <s v="Yes"/>
    <s v="Government"/>
    <n v="4"/>
    <n v="34017.47"/>
    <n v="1"/>
    <x v="0"/>
  </r>
  <r>
    <n v="138"/>
    <n v="61"/>
    <s v="Female"/>
    <n v="43"/>
    <n v="17"/>
    <s v="No"/>
    <s v="Government"/>
    <n v="1.8"/>
    <n v="30486.07"/>
    <n v="3"/>
    <x v="1"/>
  </r>
  <r>
    <n v="139"/>
    <n v="25"/>
    <s v="Female"/>
    <n v="48"/>
    <n v="6"/>
    <s v="No"/>
    <s v="Private"/>
    <n v="4.8"/>
    <n v="18547.39"/>
    <n v="7"/>
    <x v="1"/>
  </r>
  <r>
    <n v="140"/>
    <n v="41"/>
    <s v="Male"/>
    <n v="11"/>
    <n v="9"/>
    <s v="Yes"/>
    <s v="Private"/>
    <n v="2.5"/>
    <n v="11285.68"/>
    <n v="8"/>
    <x v="1"/>
  </r>
  <r>
    <n v="141"/>
    <n v="28"/>
    <s v="Male"/>
    <n v="51"/>
    <n v="6"/>
    <s v="No"/>
    <s v="Government"/>
    <n v="2.2999999999999998"/>
    <n v="49407.78"/>
    <n v="2"/>
    <x v="1"/>
  </r>
  <r>
    <n v="142"/>
    <n v="68"/>
    <s v="Female"/>
    <n v="47"/>
    <n v="0"/>
    <s v="Yes"/>
    <s v="None"/>
    <n v="1.6"/>
    <n v="22973.08"/>
    <n v="6"/>
    <x v="0"/>
  </r>
  <r>
    <n v="143"/>
    <n v="34"/>
    <s v="Male"/>
    <n v="57"/>
    <n v="18"/>
    <s v="No"/>
    <s v="Private"/>
    <n v="2.2000000000000002"/>
    <n v="34569.57"/>
    <n v="8"/>
    <x v="1"/>
  </r>
  <r>
    <n v="144"/>
    <n v="25"/>
    <s v="Male"/>
    <n v="23"/>
    <n v="15"/>
    <s v="No"/>
    <s v="None"/>
    <n v="4.5"/>
    <n v="7457.37"/>
    <n v="3"/>
    <x v="0"/>
  </r>
  <r>
    <n v="145"/>
    <n v="52"/>
    <s v="Female"/>
    <n v="55"/>
    <n v="18"/>
    <s v="Yes"/>
    <s v="None"/>
    <n v="5"/>
    <n v="24536.69"/>
    <n v="9"/>
    <x v="1"/>
  </r>
  <r>
    <n v="146"/>
    <n v="52"/>
    <s v="Female"/>
    <n v="16"/>
    <n v="3"/>
    <s v="Yes"/>
    <s v="Government"/>
    <n v="2.5"/>
    <n v="1863.07"/>
    <n v="2"/>
    <x v="1"/>
  </r>
  <r>
    <n v="147"/>
    <n v="50"/>
    <s v="Male"/>
    <n v="31"/>
    <n v="17"/>
    <s v="No"/>
    <s v="Government"/>
    <n v="2.8"/>
    <n v="25520.03"/>
    <n v="4"/>
    <x v="1"/>
  </r>
  <r>
    <n v="148"/>
    <n v="76"/>
    <s v="Male"/>
    <n v="11"/>
    <n v="1"/>
    <s v="No"/>
    <s v="Government"/>
    <n v="3.9"/>
    <n v="48218.86"/>
    <n v="0"/>
    <x v="1"/>
  </r>
  <r>
    <n v="149"/>
    <n v="22"/>
    <s v="Male"/>
    <n v="54"/>
    <n v="0"/>
    <s v="No"/>
    <s v="Government"/>
    <n v="4.5"/>
    <n v="19518.23"/>
    <n v="2"/>
    <x v="1"/>
  </r>
  <r>
    <n v="150"/>
    <n v="59"/>
    <s v="Female"/>
    <n v="16"/>
    <n v="14"/>
    <s v="Yes"/>
    <s v="Private"/>
    <n v="3.4"/>
    <n v="2430.3000000000002"/>
    <n v="7"/>
    <x v="1"/>
  </r>
  <r>
    <n v="151"/>
    <n v="56"/>
    <s v="Female"/>
    <n v="8"/>
    <n v="4"/>
    <s v="No"/>
    <s v="Private"/>
    <n v="2.6"/>
    <n v="2032.31"/>
    <n v="7"/>
    <x v="1"/>
  </r>
  <r>
    <n v="152"/>
    <n v="75"/>
    <s v="Female"/>
    <n v="4"/>
    <n v="19"/>
    <s v="Yes"/>
    <s v="Government"/>
    <n v="2.7"/>
    <n v="19705.34"/>
    <n v="3"/>
    <x v="1"/>
  </r>
  <r>
    <n v="153"/>
    <n v="58"/>
    <s v="Female"/>
    <n v="40"/>
    <n v="10"/>
    <s v="Yes"/>
    <s v="Private"/>
    <n v="3.8"/>
    <n v="8421.23"/>
    <n v="1"/>
    <x v="1"/>
  </r>
  <r>
    <n v="154"/>
    <n v="45"/>
    <s v="Male"/>
    <n v="4"/>
    <n v="9"/>
    <s v="No"/>
    <s v="Government"/>
    <n v="1"/>
    <n v="1655.93"/>
    <n v="7"/>
    <x v="1"/>
  </r>
  <r>
    <n v="155"/>
    <n v="24"/>
    <s v="Female"/>
    <n v="56"/>
    <n v="1"/>
    <s v="Yes"/>
    <s v="None"/>
    <n v="3.5"/>
    <n v="37932.57"/>
    <n v="7"/>
    <x v="1"/>
  </r>
  <r>
    <n v="156"/>
    <n v="26"/>
    <s v="Female"/>
    <n v="25"/>
    <n v="2"/>
    <s v="No"/>
    <s v="None"/>
    <n v="2.4"/>
    <n v="23196.89"/>
    <n v="9"/>
    <x v="1"/>
  </r>
  <r>
    <n v="157"/>
    <n v="25"/>
    <s v="Female"/>
    <n v="3"/>
    <n v="11"/>
    <s v="No"/>
    <s v="None"/>
    <n v="4.2"/>
    <n v="14817.62"/>
    <n v="3"/>
    <x v="1"/>
  </r>
  <r>
    <n v="158"/>
    <n v="29"/>
    <s v="Female"/>
    <n v="32"/>
    <n v="19"/>
    <s v="No"/>
    <s v="Government"/>
    <n v="1.4"/>
    <n v="45054.12"/>
    <n v="2"/>
    <x v="1"/>
  </r>
  <r>
    <n v="159"/>
    <n v="51"/>
    <s v="Female"/>
    <n v="3"/>
    <n v="4"/>
    <s v="No"/>
    <s v="None"/>
    <n v="3.4"/>
    <n v="6248.88"/>
    <n v="1"/>
    <x v="1"/>
  </r>
  <r>
    <n v="160"/>
    <n v="50"/>
    <s v="Male"/>
    <n v="27"/>
    <n v="4"/>
    <s v="No"/>
    <s v="Private"/>
    <n v="2.9"/>
    <n v="47817.98"/>
    <n v="8"/>
    <x v="1"/>
  </r>
  <r>
    <n v="161"/>
    <n v="65"/>
    <s v="Male"/>
    <n v="29"/>
    <n v="5"/>
    <s v="Yes"/>
    <s v="None"/>
    <n v="3.6"/>
    <n v="16041.35"/>
    <n v="0"/>
    <x v="0"/>
  </r>
  <r>
    <n v="162"/>
    <n v="72"/>
    <s v="Female"/>
    <n v="32"/>
    <n v="8"/>
    <s v="Yes"/>
    <s v="None"/>
    <n v="1.3"/>
    <n v="44475.98"/>
    <n v="6"/>
    <x v="0"/>
  </r>
  <r>
    <n v="163"/>
    <n v="40"/>
    <s v="Male"/>
    <n v="50"/>
    <n v="1"/>
    <s v="No"/>
    <s v="None"/>
    <n v="3.3"/>
    <n v="30345.67"/>
    <n v="4"/>
    <x v="1"/>
  </r>
  <r>
    <n v="164"/>
    <n v="79"/>
    <s v="Female"/>
    <n v="58"/>
    <n v="11"/>
    <s v="No"/>
    <s v="Private"/>
    <n v="3.2"/>
    <n v="41422.01"/>
    <n v="7"/>
    <x v="1"/>
  </r>
  <r>
    <n v="165"/>
    <n v="41"/>
    <s v="Female"/>
    <n v="51"/>
    <n v="2"/>
    <s v="Yes"/>
    <s v="Government"/>
    <n v="3.2"/>
    <n v="49208.65"/>
    <n v="3"/>
    <x v="0"/>
  </r>
  <r>
    <n v="166"/>
    <n v="54"/>
    <s v="Male"/>
    <n v="19"/>
    <n v="19"/>
    <s v="Yes"/>
    <s v="Private"/>
    <n v="3.4"/>
    <n v="14776.07"/>
    <n v="6"/>
    <x v="1"/>
  </r>
  <r>
    <n v="167"/>
    <n v="52"/>
    <s v="Male"/>
    <n v="21"/>
    <n v="11"/>
    <s v="Yes"/>
    <s v="Government"/>
    <n v="3.7"/>
    <n v="48076.21"/>
    <n v="4"/>
    <x v="0"/>
  </r>
  <r>
    <n v="168"/>
    <n v="61"/>
    <s v="Female"/>
    <n v="5"/>
    <n v="16"/>
    <s v="Yes"/>
    <s v="Government"/>
    <n v="4.2"/>
    <n v="19779.349999999999"/>
    <n v="4"/>
    <x v="0"/>
  </r>
  <r>
    <n v="169"/>
    <n v="57"/>
    <s v="Female"/>
    <n v="18"/>
    <n v="9"/>
    <s v="No"/>
    <s v="None"/>
    <n v="2.1"/>
    <n v="19582.84"/>
    <n v="8"/>
    <x v="0"/>
  </r>
  <r>
    <n v="170"/>
    <n v="39"/>
    <s v="Female"/>
    <n v="28"/>
    <n v="13"/>
    <s v="No"/>
    <s v="Government"/>
    <n v="4.3"/>
    <n v="17349.16"/>
    <n v="8"/>
    <x v="1"/>
  </r>
  <r>
    <n v="171"/>
    <n v="44"/>
    <s v="Male"/>
    <n v="42"/>
    <n v="16"/>
    <s v="Yes"/>
    <s v="Private"/>
    <n v="3"/>
    <n v="27299.68"/>
    <n v="8"/>
    <x v="1"/>
  </r>
  <r>
    <n v="172"/>
    <n v="52"/>
    <s v="Female"/>
    <n v="22"/>
    <n v="17"/>
    <s v="No"/>
    <s v="Private"/>
    <n v="1.3"/>
    <n v="8130.18"/>
    <n v="5"/>
    <x v="1"/>
  </r>
  <r>
    <n v="173"/>
    <n v="18"/>
    <s v="Female"/>
    <n v="21"/>
    <n v="18"/>
    <s v="Yes"/>
    <s v="Government"/>
    <n v="1.2"/>
    <n v="27908.720000000001"/>
    <n v="5"/>
    <x v="1"/>
  </r>
  <r>
    <n v="174"/>
    <n v="52"/>
    <s v="Female"/>
    <n v="6"/>
    <n v="16"/>
    <s v="No"/>
    <s v="None"/>
    <n v="2.2999999999999998"/>
    <n v="27314.39"/>
    <n v="4"/>
    <x v="1"/>
  </r>
  <r>
    <n v="175"/>
    <n v="54"/>
    <s v="Male"/>
    <n v="1"/>
    <n v="13"/>
    <s v="Yes"/>
    <s v="None"/>
    <n v="4.0999999999999996"/>
    <n v="38214.14"/>
    <n v="8"/>
    <x v="1"/>
  </r>
  <r>
    <n v="176"/>
    <n v="64"/>
    <s v="Female"/>
    <n v="5"/>
    <n v="8"/>
    <s v="No"/>
    <s v="Private"/>
    <n v="3.8"/>
    <n v="41765.67"/>
    <n v="9"/>
    <x v="1"/>
  </r>
  <r>
    <n v="177"/>
    <n v="31"/>
    <s v="Female"/>
    <n v="41"/>
    <n v="7"/>
    <s v="Yes"/>
    <s v="None"/>
    <n v="4.2"/>
    <n v="22301.85"/>
    <n v="7"/>
    <x v="0"/>
  </r>
  <r>
    <n v="178"/>
    <n v="20"/>
    <s v="Male"/>
    <n v="12"/>
    <n v="1"/>
    <s v="Yes"/>
    <s v="Government"/>
    <n v="3.1"/>
    <n v="15465.5"/>
    <n v="6"/>
    <x v="1"/>
  </r>
  <r>
    <n v="179"/>
    <n v="18"/>
    <s v="Female"/>
    <n v="26"/>
    <n v="12"/>
    <s v="No"/>
    <s v="Government"/>
    <n v="2.8"/>
    <n v="13337.08"/>
    <n v="6"/>
    <x v="0"/>
  </r>
  <r>
    <n v="180"/>
    <n v="22"/>
    <s v="Female"/>
    <n v="46"/>
    <n v="6"/>
    <s v="Yes"/>
    <s v="Private"/>
    <n v="1.6"/>
    <n v="10133.879999999999"/>
    <n v="5"/>
    <x v="0"/>
  </r>
  <r>
    <n v="181"/>
    <n v="43"/>
    <s v="Male"/>
    <n v="34"/>
    <n v="8"/>
    <s v="No"/>
    <s v="Government"/>
    <n v="2.2999999999999998"/>
    <n v="3353.56"/>
    <n v="4"/>
    <x v="1"/>
  </r>
  <r>
    <n v="182"/>
    <n v="72"/>
    <s v="Female"/>
    <n v="49"/>
    <n v="10"/>
    <s v="No"/>
    <s v="Private"/>
    <n v="2.7"/>
    <n v="17451.169999999998"/>
    <n v="3"/>
    <x v="1"/>
  </r>
  <r>
    <n v="183"/>
    <n v="31"/>
    <s v="Male"/>
    <n v="14"/>
    <n v="13"/>
    <s v="Yes"/>
    <s v="Government"/>
    <n v="1.4"/>
    <n v="13877.26"/>
    <n v="2"/>
    <x v="0"/>
  </r>
  <r>
    <n v="184"/>
    <n v="56"/>
    <s v="Male"/>
    <n v="26"/>
    <n v="3"/>
    <s v="No"/>
    <s v="Private"/>
    <n v="1.9"/>
    <n v="48337.66"/>
    <n v="2"/>
    <x v="1"/>
  </r>
  <r>
    <n v="185"/>
    <n v="44"/>
    <s v="Female"/>
    <n v="45"/>
    <n v="12"/>
    <s v="No"/>
    <s v="None"/>
    <n v="3.4"/>
    <n v="28106.59"/>
    <n v="5"/>
    <x v="1"/>
  </r>
  <r>
    <n v="186"/>
    <n v="26"/>
    <s v="Female"/>
    <n v="27"/>
    <n v="1"/>
    <s v="No"/>
    <s v="Government"/>
    <n v="3.9"/>
    <n v="17690.21"/>
    <n v="3"/>
    <x v="1"/>
  </r>
  <r>
    <n v="187"/>
    <n v="32"/>
    <s v="Female"/>
    <n v="9"/>
    <n v="4"/>
    <s v="No"/>
    <s v="Government"/>
    <n v="5"/>
    <n v="29233.15"/>
    <n v="5"/>
    <x v="1"/>
  </r>
  <r>
    <n v="188"/>
    <n v="32"/>
    <s v="Female"/>
    <n v="26"/>
    <n v="10"/>
    <s v="No"/>
    <s v="Private"/>
    <n v="4.7"/>
    <n v="7390.24"/>
    <n v="2"/>
    <x v="1"/>
  </r>
  <r>
    <n v="189"/>
    <n v="43"/>
    <s v="Male"/>
    <n v="57"/>
    <n v="5"/>
    <s v="Yes"/>
    <s v="Private"/>
    <n v="3.6"/>
    <n v="22480.17"/>
    <n v="3"/>
    <x v="1"/>
  </r>
  <r>
    <n v="190"/>
    <n v="59"/>
    <s v="Female"/>
    <n v="47"/>
    <n v="17"/>
    <s v="No"/>
    <s v="Government"/>
    <n v="2.7"/>
    <n v="31498.6"/>
    <n v="8"/>
    <x v="1"/>
  </r>
  <r>
    <n v="191"/>
    <n v="77"/>
    <s v="Male"/>
    <n v="57"/>
    <n v="9"/>
    <s v="No"/>
    <s v="Private"/>
    <n v="3.5"/>
    <n v="24700.44"/>
    <n v="4"/>
    <x v="1"/>
  </r>
  <r>
    <n v="192"/>
    <n v="30"/>
    <s v="Female"/>
    <n v="22"/>
    <n v="3"/>
    <s v="No"/>
    <s v="Government"/>
    <n v="4.0999999999999996"/>
    <n v="20388.05"/>
    <n v="6"/>
    <x v="1"/>
  </r>
  <r>
    <n v="193"/>
    <n v="68"/>
    <s v="Female"/>
    <n v="47"/>
    <n v="8"/>
    <s v="No"/>
    <s v="None"/>
    <n v="1.5"/>
    <n v="49695.5"/>
    <n v="9"/>
    <x v="1"/>
  </r>
  <r>
    <n v="194"/>
    <n v="49"/>
    <s v="Female"/>
    <n v="56"/>
    <n v="5"/>
    <s v="No"/>
    <s v="Private"/>
    <n v="2.6"/>
    <n v="44075.58"/>
    <n v="1"/>
    <x v="1"/>
  </r>
  <r>
    <n v="195"/>
    <n v="56"/>
    <s v="Male"/>
    <n v="30"/>
    <n v="1"/>
    <s v="Yes"/>
    <s v="Government"/>
    <n v="4.4000000000000004"/>
    <n v="31358.59"/>
    <n v="4"/>
    <x v="0"/>
  </r>
  <r>
    <n v="196"/>
    <n v="66"/>
    <s v="Female"/>
    <n v="43"/>
    <n v="16"/>
    <s v="No"/>
    <s v="None"/>
    <n v="2.5"/>
    <n v="28684.18"/>
    <n v="8"/>
    <x v="1"/>
  </r>
  <r>
    <n v="197"/>
    <n v="69"/>
    <s v="Female"/>
    <n v="48"/>
    <n v="4"/>
    <s v="Yes"/>
    <s v="None"/>
    <n v="3.3"/>
    <n v="31222.69"/>
    <n v="2"/>
    <x v="1"/>
  </r>
  <r>
    <n v="198"/>
    <n v="78"/>
    <s v="Female"/>
    <n v="17"/>
    <n v="5"/>
    <s v="Yes"/>
    <s v="Government"/>
    <n v="3.4"/>
    <n v="10464.950000000001"/>
    <n v="8"/>
    <x v="1"/>
  </r>
  <r>
    <n v="199"/>
    <n v="49"/>
    <s v="Female"/>
    <n v="26"/>
    <n v="11"/>
    <s v="Yes"/>
    <s v="Private"/>
    <n v="1.7"/>
    <n v="20059.32"/>
    <n v="5"/>
    <x v="1"/>
  </r>
  <r>
    <n v="200"/>
    <n v="21"/>
    <s v="Male"/>
    <n v="36"/>
    <n v="9"/>
    <s v="Yes"/>
    <s v="Government"/>
    <n v="2.4"/>
    <n v="2453.25"/>
    <n v="3"/>
    <x v="1"/>
  </r>
  <r>
    <n v="201"/>
    <n v="47"/>
    <s v="Female"/>
    <n v="1"/>
    <n v="5"/>
    <s v="No"/>
    <s v="None"/>
    <n v="2.2999999999999998"/>
    <n v="24039.53"/>
    <n v="6"/>
    <x v="0"/>
  </r>
  <r>
    <n v="202"/>
    <n v="54"/>
    <s v="Male"/>
    <n v="8"/>
    <n v="7"/>
    <s v="Yes"/>
    <s v="Government"/>
    <n v="1.1000000000000001"/>
    <n v="27379.72"/>
    <n v="7"/>
    <x v="1"/>
  </r>
  <r>
    <n v="203"/>
    <n v="40"/>
    <s v="Male"/>
    <n v="49"/>
    <n v="1"/>
    <s v="Yes"/>
    <s v="Private"/>
    <n v="1.1000000000000001"/>
    <n v="11773.61"/>
    <n v="5"/>
    <x v="0"/>
  </r>
  <r>
    <n v="204"/>
    <n v="56"/>
    <s v="Male"/>
    <n v="35"/>
    <n v="11"/>
    <s v="No"/>
    <s v="None"/>
    <n v="4.3"/>
    <n v="48219.43"/>
    <n v="4"/>
    <x v="1"/>
  </r>
  <r>
    <n v="205"/>
    <n v="62"/>
    <s v="Male"/>
    <n v="52"/>
    <n v="12"/>
    <s v="No"/>
    <s v="Government"/>
    <n v="2.1"/>
    <n v="45518"/>
    <n v="5"/>
    <x v="1"/>
  </r>
  <r>
    <n v="206"/>
    <n v="32"/>
    <s v="Male"/>
    <n v="15"/>
    <n v="6"/>
    <s v="No"/>
    <s v="Private"/>
    <n v="3.1"/>
    <n v="36246.089999999997"/>
    <n v="4"/>
    <x v="1"/>
  </r>
  <r>
    <n v="207"/>
    <n v="60"/>
    <s v="Male"/>
    <n v="47"/>
    <n v="9"/>
    <s v="Yes"/>
    <s v="None"/>
    <n v="2.2000000000000002"/>
    <n v="26902.639999999999"/>
    <n v="7"/>
    <x v="0"/>
  </r>
  <r>
    <n v="208"/>
    <n v="46"/>
    <s v="Female"/>
    <n v="56"/>
    <n v="12"/>
    <s v="No"/>
    <s v="Private"/>
    <n v="4.8"/>
    <n v="43563.47"/>
    <n v="0"/>
    <x v="1"/>
  </r>
  <r>
    <n v="209"/>
    <n v="53"/>
    <s v="Male"/>
    <n v="22"/>
    <n v="16"/>
    <s v="No"/>
    <s v="None"/>
    <n v="2"/>
    <n v="6967.29"/>
    <n v="6"/>
    <x v="1"/>
  </r>
  <r>
    <n v="210"/>
    <n v="30"/>
    <s v="Male"/>
    <n v="14"/>
    <n v="13"/>
    <s v="Yes"/>
    <s v="Government"/>
    <n v="2.7"/>
    <n v="39630.230000000003"/>
    <n v="9"/>
    <x v="1"/>
  </r>
  <r>
    <n v="211"/>
    <n v="49"/>
    <s v="Male"/>
    <n v="26"/>
    <n v="1"/>
    <s v="No"/>
    <s v="Private"/>
    <n v="4.5"/>
    <n v="6678.63"/>
    <n v="9"/>
    <x v="1"/>
  </r>
  <r>
    <n v="212"/>
    <n v="24"/>
    <s v="Female"/>
    <n v="28"/>
    <n v="10"/>
    <s v="No"/>
    <s v="None"/>
    <n v="4.4000000000000004"/>
    <n v="39813.43"/>
    <n v="1"/>
    <x v="1"/>
  </r>
  <r>
    <n v="213"/>
    <n v="76"/>
    <s v="Female"/>
    <n v="23"/>
    <n v="0"/>
    <s v="No"/>
    <s v="Private"/>
    <n v="1.7"/>
    <n v="14150.49"/>
    <n v="8"/>
    <x v="1"/>
  </r>
  <r>
    <n v="214"/>
    <n v="68"/>
    <s v="Male"/>
    <n v="14"/>
    <n v="18"/>
    <s v="No"/>
    <s v="Private"/>
    <n v="4.2"/>
    <n v="43915.98"/>
    <n v="0"/>
    <x v="1"/>
  </r>
  <r>
    <n v="215"/>
    <n v="39"/>
    <s v="Female"/>
    <n v="24"/>
    <n v="3"/>
    <s v="Yes"/>
    <s v="Government"/>
    <n v="2.8"/>
    <n v="47230.080000000002"/>
    <n v="9"/>
    <x v="1"/>
  </r>
  <r>
    <n v="216"/>
    <n v="45"/>
    <s v="Male"/>
    <n v="2"/>
    <n v="18"/>
    <s v="No"/>
    <s v="Private"/>
    <n v="2.9"/>
    <n v="7865.4"/>
    <n v="5"/>
    <x v="1"/>
  </r>
  <r>
    <n v="217"/>
    <n v="19"/>
    <s v="Male"/>
    <n v="45"/>
    <n v="10"/>
    <s v="No"/>
    <s v="None"/>
    <n v="1.5"/>
    <n v="23402.44"/>
    <n v="8"/>
    <x v="0"/>
  </r>
  <r>
    <n v="218"/>
    <n v="59"/>
    <s v="Female"/>
    <n v="26"/>
    <n v="7"/>
    <s v="Yes"/>
    <s v="None"/>
    <n v="1.3"/>
    <n v="49058.879999999997"/>
    <n v="0"/>
    <x v="0"/>
  </r>
  <r>
    <n v="219"/>
    <n v="62"/>
    <s v="Male"/>
    <n v="14"/>
    <n v="10"/>
    <s v="No"/>
    <s v="None"/>
    <n v="3.9"/>
    <n v="24428.67"/>
    <n v="3"/>
    <x v="0"/>
  </r>
  <r>
    <n v="220"/>
    <n v="79"/>
    <s v="Female"/>
    <n v="59"/>
    <n v="3"/>
    <s v="Yes"/>
    <s v="None"/>
    <n v="3"/>
    <n v="43245.599999999999"/>
    <n v="3"/>
    <x v="1"/>
  </r>
  <r>
    <n v="221"/>
    <n v="74"/>
    <s v="Female"/>
    <n v="56"/>
    <n v="16"/>
    <s v="No"/>
    <s v="Government"/>
    <n v="2.7"/>
    <n v="29642.21"/>
    <n v="8"/>
    <x v="1"/>
  </r>
  <r>
    <n v="222"/>
    <n v="70"/>
    <s v="Male"/>
    <n v="51"/>
    <n v="6"/>
    <s v="Yes"/>
    <s v="Private"/>
    <n v="3.9"/>
    <n v="19078.830000000002"/>
    <n v="4"/>
    <x v="1"/>
  </r>
  <r>
    <n v="223"/>
    <n v="23"/>
    <s v="Male"/>
    <n v="7"/>
    <n v="7"/>
    <s v="Yes"/>
    <s v="Government"/>
    <n v="4.0999999999999996"/>
    <n v="14646.29"/>
    <n v="4"/>
    <x v="1"/>
  </r>
  <r>
    <n v="224"/>
    <n v="45"/>
    <s v="Female"/>
    <n v="3"/>
    <n v="2"/>
    <s v="Yes"/>
    <s v="Private"/>
    <n v="1.6"/>
    <n v="10559.54"/>
    <n v="5"/>
    <x v="1"/>
  </r>
  <r>
    <n v="225"/>
    <n v="45"/>
    <s v="Male"/>
    <n v="47"/>
    <n v="1"/>
    <s v="Yes"/>
    <s v="Private"/>
    <n v="3.4"/>
    <n v="38209.01"/>
    <n v="0"/>
    <x v="1"/>
  </r>
  <r>
    <n v="226"/>
    <n v="61"/>
    <s v="Male"/>
    <n v="23"/>
    <n v="14"/>
    <s v="No"/>
    <s v="Private"/>
    <n v="1.5"/>
    <n v="19633.759999999998"/>
    <n v="0"/>
    <x v="1"/>
  </r>
  <r>
    <n v="227"/>
    <n v="61"/>
    <s v="Male"/>
    <n v="46"/>
    <n v="4"/>
    <s v="Yes"/>
    <s v="Government"/>
    <n v="4"/>
    <n v="25808.14"/>
    <n v="8"/>
    <x v="1"/>
  </r>
  <r>
    <n v="228"/>
    <n v="37"/>
    <s v="Female"/>
    <n v="43"/>
    <n v="0"/>
    <s v="No"/>
    <s v="Private"/>
    <n v="3.6"/>
    <n v="24870.11"/>
    <n v="2"/>
    <x v="0"/>
  </r>
  <r>
    <n v="229"/>
    <n v="47"/>
    <s v="Female"/>
    <n v="47"/>
    <n v="3"/>
    <s v="Yes"/>
    <s v="Government"/>
    <n v="4.8"/>
    <n v="29075.31"/>
    <n v="3"/>
    <x v="1"/>
  </r>
  <r>
    <n v="230"/>
    <n v="79"/>
    <s v="Male"/>
    <n v="45"/>
    <n v="14"/>
    <s v="Yes"/>
    <s v="None"/>
    <n v="1.3"/>
    <n v="43346.07"/>
    <n v="0"/>
    <x v="1"/>
  </r>
  <r>
    <n v="231"/>
    <n v="28"/>
    <s v="Female"/>
    <n v="18"/>
    <n v="19"/>
    <s v="Yes"/>
    <s v="None"/>
    <n v="1.2"/>
    <n v="49046.6"/>
    <n v="8"/>
    <x v="1"/>
  </r>
  <r>
    <n v="232"/>
    <n v="75"/>
    <s v="Female"/>
    <n v="58"/>
    <n v="18"/>
    <s v="No"/>
    <s v="Private"/>
    <n v="2.1"/>
    <n v="20675.419999999998"/>
    <n v="7"/>
    <x v="1"/>
  </r>
  <r>
    <n v="233"/>
    <n v="72"/>
    <s v="Female"/>
    <n v="38"/>
    <n v="2"/>
    <s v="Yes"/>
    <s v="Government"/>
    <n v="2"/>
    <n v="41462.19"/>
    <n v="1"/>
    <x v="1"/>
  </r>
  <r>
    <n v="234"/>
    <n v="45"/>
    <s v="Female"/>
    <n v="35"/>
    <n v="19"/>
    <s v="No"/>
    <s v="None"/>
    <n v="2"/>
    <n v="38344.129999999997"/>
    <n v="7"/>
    <x v="0"/>
  </r>
  <r>
    <n v="235"/>
    <n v="42"/>
    <s v="Female"/>
    <n v="51"/>
    <n v="10"/>
    <s v="No"/>
    <s v="Government"/>
    <n v="4.5999999999999996"/>
    <n v="28889.68"/>
    <n v="6"/>
    <x v="0"/>
  </r>
  <r>
    <n v="236"/>
    <n v="56"/>
    <s v="Male"/>
    <n v="15"/>
    <n v="16"/>
    <s v="No"/>
    <s v="Government"/>
    <n v="2"/>
    <n v="47824.33"/>
    <n v="5"/>
    <x v="1"/>
  </r>
  <r>
    <n v="237"/>
    <n v="79"/>
    <s v="Male"/>
    <n v="25"/>
    <n v="12"/>
    <s v="No"/>
    <s v="Private"/>
    <n v="2.1"/>
    <n v="10423.49"/>
    <n v="0"/>
    <x v="0"/>
  </r>
  <r>
    <n v="238"/>
    <n v="50"/>
    <s v="Male"/>
    <n v="55"/>
    <n v="10"/>
    <s v="No"/>
    <s v="None"/>
    <n v="4"/>
    <n v="5908.58"/>
    <n v="6"/>
    <x v="0"/>
  </r>
  <r>
    <n v="239"/>
    <n v="18"/>
    <s v="Female"/>
    <n v="37"/>
    <n v="1"/>
    <s v="No"/>
    <s v="Private"/>
    <n v="2.8"/>
    <n v="42771.12"/>
    <n v="9"/>
    <x v="0"/>
  </r>
  <r>
    <n v="240"/>
    <n v="74"/>
    <s v="Female"/>
    <n v="28"/>
    <n v="8"/>
    <s v="No"/>
    <s v="Private"/>
    <n v="4.0999999999999996"/>
    <n v="22237.919999999998"/>
    <n v="6"/>
    <x v="0"/>
  </r>
  <r>
    <n v="241"/>
    <n v="44"/>
    <s v="Male"/>
    <n v="10"/>
    <n v="1"/>
    <s v="No"/>
    <s v="None"/>
    <n v="1.3"/>
    <n v="42424.959999999999"/>
    <n v="8"/>
    <x v="1"/>
  </r>
  <r>
    <n v="242"/>
    <n v="79"/>
    <s v="Female"/>
    <n v="39"/>
    <n v="8"/>
    <s v="No"/>
    <s v="None"/>
    <n v="3"/>
    <n v="44707.97"/>
    <n v="0"/>
    <x v="1"/>
  </r>
  <r>
    <n v="243"/>
    <n v="74"/>
    <s v="Male"/>
    <n v="57"/>
    <n v="8"/>
    <s v="Yes"/>
    <s v="Government"/>
    <n v="1.1000000000000001"/>
    <n v="3591.65"/>
    <n v="1"/>
    <x v="1"/>
  </r>
  <r>
    <n v="244"/>
    <n v="69"/>
    <s v="Male"/>
    <n v="17"/>
    <n v="7"/>
    <s v="Yes"/>
    <s v="None"/>
    <n v="1.3"/>
    <n v="44231.51"/>
    <n v="8"/>
    <x v="1"/>
  </r>
  <r>
    <n v="245"/>
    <n v="30"/>
    <s v="Male"/>
    <n v="39"/>
    <n v="16"/>
    <s v="Yes"/>
    <s v="Government"/>
    <n v="4.5999999999999996"/>
    <n v="22691.79"/>
    <n v="8"/>
    <x v="0"/>
  </r>
  <r>
    <n v="246"/>
    <n v="58"/>
    <s v="Female"/>
    <n v="22"/>
    <n v="0"/>
    <s v="Yes"/>
    <s v="Government"/>
    <n v="1.6"/>
    <n v="25766.41"/>
    <n v="5"/>
    <x v="1"/>
  </r>
  <r>
    <n v="247"/>
    <n v="20"/>
    <s v="Female"/>
    <n v="26"/>
    <n v="10"/>
    <s v="Yes"/>
    <s v="Government"/>
    <n v="3.1"/>
    <n v="31516.33"/>
    <n v="5"/>
    <x v="1"/>
  </r>
  <r>
    <n v="248"/>
    <n v="56"/>
    <s v="Male"/>
    <n v="44"/>
    <n v="7"/>
    <s v="No"/>
    <s v="None"/>
    <n v="2.6"/>
    <n v="46355.94"/>
    <n v="3"/>
    <x v="0"/>
  </r>
  <r>
    <n v="249"/>
    <n v="23"/>
    <s v="Male"/>
    <n v="25"/>
    <n v="9"/>
    <s v="No"/>
    <s v="Private"/>
    <n v="2.4"/>
    <n v="1446.25"/>
    <n v="3"/>
    <x v="0"/>
  </r>
  <r>
    <n v="250"/>
    <n v="25"/>
    <s v="Male"/>
    <n v="17"/>
    <n v="6"/>
    <s v="No"/>
    <s v="Government"/>
    <n v="4.5999999999999996"/>
    <n v="24103.75"/>
    <n v="4"/>
    <x v="0"/>
  </r>
  <r>
    <n v="251"/>
    <n v="44"/>
    <s v="Male"/>
    <n v="13"/>
    <n v="2"/>
    <s v="No"/>
    <s v="Private"/>
    <n v="1.1000000000000001"/>
    <n v="34542.239999999998"/>
    <n v="2"/>
    <x v="1"/>
  </r>
  <r>
    <n v="252"/>
    <n v="26"/>
    <s v="Female"/>
    <n v="20"/>
    <n v="2"/>
    <s v="No"/>
    <s v="Private"/>
    <n v="3.7"/>
    <n v="36273.99"/>
    <n v="0"/>
    <x v="1"/>
  </r>
  <r>
    <n v="253"/>
    <n v="79"/>
    <s v="Female"/>
    <n v="25"/>
    <n v="17"/>
    <s v="No"/>
    <s v="None"/>
    <n v="4.9000000000000004"/>
    <n v="34780.36"/>
    <n v="0"/>
    <x v="1"/>
  </r>
  <r>
    <n v="254"/>
    <n v="54"/>
    <s v="Male"/>
    <n v="4"/>
    <n v="4"/>
    <s v="No"/>
    <s v="Private"/>
    <n v="3.2"/>
    <n v="7154.54"/>
    <n v="6"/>
    <x v="1"/>
  </r>
  <r>
    <n v="255"/>
    <n v="50"/>
    <s v="Male"/>
    <n v="10"/>
    <n v="11"/>
    <s v="Yes"/>
    <s v="Private"/>
    <n v="4.7"/>
    <n v="15320.08"/>
    <n v="0"/>
    <x v="1"/>
  </r>
  <r>
    <n v="256"/>
    <n v="68"/>
    <s v="Female"/>
    <n v="3"/>
    <n v="11"/>
    <s v="Yes"/>
    <s v="None"/>
    <n v="1.2"/>
    <n v="18256.419999999998"/>
    <n v="0"/>
    <x v="1"/>
  </r>
  <r>
    <n v="257"/>
    <n v="59"/>
    <s v="Female"/>
    <n v="41"/>
    <n v="18"/>
    <s v="Yes"/>
    <s v="Government"/>
    <n v="2.7"/>
    <n v="40319.64"/>
    <n v="2"/>
    <x v="0"/>
  </r>
  <r>
    <n v="258"/>
    <n v="61"/>
    <s v="Male"/>
    <n v="45"/>
    <n v="5"/>
    <s v="Yes"/>
    <s v="Private"/>
    <n v="2"/>
    <n v="14298.61"/>
    <n v="9"/>
    <x v="1"/>
  </r>
  <r>
    <n v="259"/>
    <n v="41"/>
    <s v="Male"/>
    <n v="18"/>
    <n v="1"/>
    <s v="No"/>
    <s v="None"/>
    <n v="3.9"/>
    <n v="10929.9"/>
    <n v="3"/>
    <x v="1"/>
  </r>
  <r>
    <n v="260"/>
    <n v="32"/>
    <s v="Male"/>
    <n v="47"/>
    <n v="11"/>
    <s v="No"/>
    <s v="Private"/>
    <n v="4.9000000000000004"/>
    <n v="47893.68"/>
    <n v="3"/>
    <x v="1"/>
  </r>
  <r>
    <n v="261"/>
    <n v="76"/>
    <s v="Female"/>
    <n v="36"/>
    <n v="18"/>
    <s v="No"/>
    <s v="Private"/>
    <n v="2"/>
    <n v="938.73"/>
    <n v="1"/>
    <x v="1"/>
  </r>
  <r>
    <n v="262"/>
    <n v="71"/>
    <s v="Female"/>
    <n v="47"/>
    <n v="4"/>
    <s v="Yes"/>
    <s v="Government"/>
    <n v="3.6"/>
    <n v="49892.13"/>
    <n v="0"/>
    <x v="1"/>
  </r>
  <r>
    <n v="263"/>
    <n v="49"/>
    <s v="Female"/>
    <n v="22"/>
    <n v="11"/>
    <s v="No"/>
    <s v="Private"/>
    <n v="1.8"/>
    <n v="34002.65"/>
    <n v="2"/>
    <x v="0"/>
  </r>
  <r>
    <n v="264"/>
    <n v="49"/>
    <s v="Male"/>
    <n v="34"/>
    <n v="16"/>
    <s v="No"/>
    <s v="None"/>
    <n v="3.3"/>
    <n v="41509.230000000003"/>
    <n v="3"/>
    <x v="1"/>
  </r>
  <r>
    <n v="265"/>
    <n v="41"/>
    <s v="Male"/>
    <n v="47"/>
    <n v="16"/>
    <s v="No"/>
    <s v="Private"/>
    <n v="2.9"/>
    <n v="15083.66"/>
    <n v="2"/>
    <x v="0"/>
  </r>
  <r>
    <n v="266"/>
    <n v="58"/>
    <s v="Female"/>
    <n v="8"/>
    <n v="9"/>
    <s v="Yes"/>
    <s v="Government"/>
    <n v="4.9000000000000004"/>
    <n v="1208.6099999999999"/>
    <n v="7"/>
    <x v="1"/>
  </r>
  <r>
    <n v="267"/>
    <n v="69"/>
    <s v="Female"/>
    <n v="40"/>
    <n v="16"/>
    <s v="No"/>
    <s v="Government"/>
    <n v="3.4"/>
    <n v="37024.54"/>
    <n v="9"/>
    <x v="0"/>
  </r>
  <r>
    <n v="268"/>
    <n v="66"/>
    <s v="Male"/>
    <n v="49"/>
    <n v="14"/>
    <s v="Yes"/>
    <s v="None"/>
    <n v="2.4"/>
    <n v="41790.160000000003"/>
    <n v="0"/>
    <x v="1"/>
  </r>
  <r>
    <n v="269"/>
    <n v="79"/>
    <s v="Female"/>
    <n v="44"/>
    <n v="11"/>
    <s v="Yes"/>
    <s v="Government"/>
    <n v="1.5"/>
    <n v="37153.57"/>
    <n v="1"/>
    <x v="1"/>
  </r>
  <r>
    <n v="270"/>
    <n v="66"/>
    <s v="Female"/>
    <n v="19"/>
    <n v="15"/>
    <s v="Yes"/>
    <s v="Private"/>
    <n v="1.6"/>
    <n v="7571.09"/>
    <n v="6"/>
    <x v="1"/>
  </r>
  <r>
    <n v="271"/>
    <n v="75"/>
    <s v="Male"/>
    <n v="42"/>
    <n v="18"/>
    <s v="Yes"/>
    <s v="Government"/>
    <n v="1.9"/>
    <n v="37794.68"/>
    <n v="3"/>
    <x v="0"/>
  </r>
  <r>
    <n v="272"/>
    <n v="69"/>
    <s v="Female"/>
    <n v="41"/>
    <n v="7"/>
    <s v="No"/>
    <s v="None"/>
    <n v="2"/>
    <n v="38561.68"/>
    <n v="7"/>
    <x v="1"/>
  </r>
  <r>
    <n v="273"/>
    <n v="29"/>
    <s v="Male"/>
    <n v="37"/>
    <n v="16"/>
    <s v="Yes"/>
    <s v="Government"/>
    <n v="4.4000000000000004"/>
    <n v="33097.760000000002"/>
    <n v="2"/>
    <x v="1"/>
  </r>
  <r>
    <n v="274"/>
    <n v="79"/>
    <s v="Male"/>
    <n v="6"/>
    <n v="4"/>
    <s v="Yes"/>
    <s v="Government"/>
    <n v="3.2"/>
    <n v="38422.74"/>
    <n v="5"/>
    <x v="0"/>
  </r>
  <r>
    <n v="275"/>
    <n v="56"/>
    <s v="Male"/>
    <n v="52"/>
    <n v="15"/>
    <s v="No"/>
    <s v="Government"/>
    <n v="3.1"/>
    <n v="42373.11"/>
    <n v="8"/>
    <x v="0"/>
  </r>
  <r>
    <n v="276"/>
    <n v="19"/>
    <s v="Male"/>
    <n v="26"/>
    <n v="5"/>
    <s v="No"/>
    <s v="None"/>
    <n v="1.5"/>
    <n v="30873.4"/>
    <n v="0"/>
    <x v="1"/>
  </r>
  <r>
    <n v="277"/>
    <n v="20"/>
    <s v="Male"/>
    <n v="34"/>
    <n v="7"/>
    <s v="Yes"/>
    <s v="Government"/>
    <n v="4.4000000000000004"/>
    <n v="4885.93"/>
    <n v="0"/>
    <x v="1"/>
  </r>
  <r>
    <n v="278"/>
    <n v="66"/>
    <s v="Male"/>
    <n v="59"/>
    <n v="17"/>
    <s v="No"/>
    <s v="Government"/>
    <n v="3.9"/>
    <n v="24637.58"/>
    <n v="7"/>
    <x v="1"/>
  </r>
  <r>
    <n v="279"/>
    <n v="54"/>
    <s v="Male"/>
    <n v="56"/>
    <n v="11"/>
    <s v="Yes"/>
    <s v="Private"/>
    <n v="1.3"/>
    <n v="4343.6400000000003"/>
    <n v="2"/>
    <x v="1"/>
  </r>
  <r>
    <n v="280"/>
    <n v="66"/>
    <s v="Female"/>
    <n v="59"/>
    <n v="14"/>
    <s v="Yes"/>
    <s v="None"/>
    <n v="3.8"/>
    <n v="20673.38"/>
    <n v="4"/>
    <x v="1"/>
  </r>
  <r>
    <n v="281"/>
    <n v="73"/>
    <s v="Male"/>
    <n v="45"/>
    <n v="8"/>
    <s v="Yes"/>
    <s v="Government"/>
    <n v="3.2"/>
    <n v="20651.77"/>
    <n v="0"/>
    <x v="0"/>
  </r>
  <r>
    <n v="282"/>
    <n v="34"/>
    <s v="Male"/>
    <n v="6"/>
    <n v="12"/>
    <s v="Yes"/>
    <s v="None"/>
    <n v="1.3"/>
    <n v="3767.49"/>
    <n v="4"/>
    <x v="0"/>
  </r>
  <r>
    <n v="283"/>
    <n v="76"/>
    <s v="Female"/>
    <n v="37"/>
    <n v="14"/>
    <s v="No"/>
    <s v="Government"/>
    <n v="2.8"/>
    <n v="17766.62"/>
    <n v="5"/>
    <x v="1"/>
  </r>
  <r>
    <n v="284"/>
    <n v="66"/>
    <s v="Female"/>
    <n v="57"/>
    <n v="9"/>
    <s v="Yes"/>
    <s v="Government"/>
    <n v="2.9"/>
    <n v="5994.41"/>
    <n v="7"/>
    <x v="1"/>
  </r>
  <r>
    <n v="285"/>
    <n v="19"/>
    <s v="Female"/>
    <n v="33"/>
    <n v="15"/>
    <s v="No"/>
    <s v="Government"/>
    <n v="1.7"/>
    <n v="40507.64"/>
    <n v="2"/>
    <x v="1"/>
  </r>
  <r>
    <n v="286"/>
    <n v="19"/>
    <s v="Male"/>
    <n v="53"/>
    <n v="6"/>
    <s v="No"/>
    <s v="Private"/>
    <n v="4.8"/>
    <n v="47410.559999999998"/>
    <n v="2"/>
    <x v="0"/>
  </r>
  <r>
    <n v="287"/>
    <n v="45"/>
    <s v="Female"/>
    <n v="22"/>
    <n v="16"/>
    <s v="No"/>
    <s v="Private"/>
    <n v="4.4000000000000004"/>
    <n v="4079.67"/>
    <n v="9"/>
    <x v="0"/>
  </r>
  <r>
    <n v="288"/>
    <n v="71"/>
    <s v="Male"/>
    <n v="21"/>
    <n v="6"/>
    <s v="No"/>
    <s v="Private"/>
    <n v="3.7"/>
    <n v="47778.2"/>
    <n v="8"/>
    <x v="1"/>
  </r>
  <r>
    <n v="289"/>
    <n v="40"/>
    <s v="Male"/>
    <n v="6"/>
    <n v="13"/>
    <s v="Yes"/>
    <s v="None"/>
    <n v="2.8"/>
    <n v="26367.54"/>
    <n v="3"/>
    <x v="0"/>
  </r>
  <r>
    <n v="290"/>
    <n v="54"/>
    <s v="Male"/>
    <n v="6"/>
    <n v="14"/>
    <s v="No"/>
    <s v="None"/>
    <n v="2.6"/>
    <n v="15328.5"/>
    <n v="3"/>
    <x v="1"/>
  </r>
  <r>
    <n v="291"/>
    <n v="49"/>
    <s v="Male"/>
    <n v="55"/>
    <n v="6"/>
    <s v="Yes"/>
    <s v="Private"/>
    <n v="3.6"/>
    <n v="4304.67"/>
    <n v="6"/>
    <x v="1"/>
  </r>
  <r>
    <n v="292"/>
    <n v="50"/>
    <s v="Female"/>
    <n v="48"/>
    <n v="8"/>
    <s v="No"/>
    <s v="None"/>
    <n v="3.2"/>
    <n v="25280.9"/>
    <n v="1"/>
    <x v="1"/>
  </r>
  <r>
    <n v="293"/>
    <n v="18"/>
    <s v="Female"/>
    <n v="4"/>
    <n v="18"/>
    <s v="No"/>
    <s v="Government"/>
    <n v="1.2"/>
    <n v="39828.519999999997"/>
    <n v="7"/>
    <x v="1"/>
  </r>
  <r>
    <n v="294"/>
    <n v="36"/>
    <s v="Male"/>
    <n v="30"/>
    <n v="15"/>
    <s v="Yes"/>
    <s v="Government"/>
    <n v="3.1"/>
    <n v="35500.78"/>
    <n v="5"/>
    <x v="1"/>
  </r>
  <r>
    <n v="295"/>
    <n v="79"/>
    <s v="Male"/>
    <n v="11"/>
    <n v="7"/>
    <s v="Yes"/>
    <s v="Government"/>
    <n v="4.2"/>
    <n v="2986.19"/>
    <n v="2"/>
    <x v="1"/>
  </r>
  <r>
    <n v="296"/>
    <n v="19"/>
    <s v="Male"/>
    <n v="30"/>
    <n v="17"/>
    <s v="Yes"/>
    <s v="Private"/>
    <n v="2.8"/>
    <n v="4108.6400000000003"/>
    <n v="8"/>
    <x v="1"/>
  </r>
  <r>
    <n v="297"/>
    <n v="70"/>
    <s v="Female"/>
    <n v="31"/>
    <n v="17"/>
    <s v="No"/>
    <s v="None"/>
    <n v="1.2"/>
    <n v="20442.23"/>
    <n v="4"/>
    <x v="0"/>
  </r>
  <r>
    <n v="298"/>
    <n v="61"/>
    <s v="Male"/>
    <n v="24"/>
    <n v="19"/>
    <s v="No"/>
    <s v="Private"/>
    <n v="4.0999999999999996"/>
    <n v="15116.88"/>
    <n v="7"/>
    <x v="1"/>
  </r>
  <r>
    <n v="299"/>
    <n v="43"/>
    <s v="Male"/>
    <n v="55"/>
    <n v="6"/>
    <s v="Yes"/>
    <s v="None"/>
    <n v="1.8"/>
    <n v="12003.02"/>
    <n v="6"/>
    <x v="1"/>
  </r>
  <r>
    <n v="300"/>
    <n v="49"/>
    <s v="Female"/>
    <n v="9"/>
    <n v="2"/>
    <s v="Yes"/>
    <s v="Government"/>
    <n v="2"/>
    <n v="14409.72"/>
    <n v="7"/>
    <x v="1"/>
  </r>
  <r>
    <n v="301"/>
    <n v="23"/>
    <s v="Female"/>
    <n v="55"/>
    <n v="17"/>
    <s v="Yes"/>
    <s v="Private"/>
    <n v="1.7"/>
    <n v="40272.400000000001"/>
    <n v="6"/>
    <x v="1"/>
  </r>
  <r>
    <n v="302"/>
    <n v="49"/>
    <s v="Male"/>
    <n v="3"/>
    <n v="9"/>
    <s v="Yes"/>
    <s v="None"/>
    <n v="2.2999999999999998"/>
    <n v="46496.79"/>
    <n v="2"/>
    <x v="1"/>
  </r>
  <r>
    <n v="303"/>
    <n v="72"/>
    <s v="Female"/>
    <n v="51"/>
    <n v="6"/>
    <s v="No"/>
    <s v="None"/>
    <n v="4"/>
    <n v="20552.580000000002"/>
    <n v="1"/>
    <x v="1"/>
  </r>
  <r>
    <n v="304"/>
    <n v="21"/>
    <s v="Female"/>
    <n v="31"/>
    <n v="16"/>
    <s v="Yes"/>
    <s v="Government"/>
    <n v="3.1"/>
    <n v="45352.49"/>
    <n v="6"/>
    <x v="1"/>
  </r>
  <r>
    <n v="305"/>
    <n v="72"/>
    <s v="Male"/>
    <n v="40"/>
    <n v="13"/>
    <s v="Yes"/>
    <s v="Private"/>
    <n v="1.8"/>
    <n v="16414.04"/>
    <n v="2"/>
    <x v="1"/>
  </r>
  <r>
    <n v="306"/>
    <n v="28"/>
    <s v="Female"/>
    <n v="37"/>
    <n v="2"/>
    <s v="Yes"/>
    <s v="Private"/>
    <n v="4.5"/>
    <n v="24083.63"/>
    <n v="2"/>
    <x v="1"/>
  </r>
  <r>
    <n v="307"/>
    <n v="73"/>
    <s v="Male"/>
    <n v="36"/>
    <n v="11"/>
    <s v="Yes"/>
    <s v="Private"/>
    <n v="4.5"/>
    <n v="11688.44"/>
    <n v="1"/>
    <x v="1"/>
  </r>
  <r>
    <n v="308"/>
    <n v="76"/>
    <s v="Female"/>
    <n v="24"/>
    <n v="12"/>
    <s v="No"/>
    <s v="Government"/>
    <n v="4.5"/>
    <n v="32203.56"/>
    <n v="3"/>
    <x v="1"/>
  </r>
  <r>
    <n v="309"/>
    <n v="34"/>
    <s v="Male"/>
    <n v="31"/>
    <n v="1"/>
    <s v="Yes"/>
    <s v="Private"/>
    <n v="2"/>
    <n v="48959.57"/>
    <n v="7"/>
    <x v="1"/>
  </r>
  <r>
    <n v="310"/>
    <n v="55"/>
    <s v="Male"/>
    <n v="6"/>
    <n v="2"/>
    <s v="No"/>
    <s v="Government"/>
    <n v="2.8"/>
    <n v="30372.91"/>
    <n v="0"/>
    <x v="1"/>
  </r>
  <r>
    <n v="311"/>
    <n v="41"/>
    <s v="Male"/>
    <n v="2"/>
    <n v="4"/>
    <s v="Yes"/>
    <s v="Government"/>
    <n v="4.9000000000000004"/>
    <n v="18211.8"/>
    <n v="0"/>
    <x v="0"/>
  </r>
  <r>
    <n v="312"/>
    <n v="22"/>
    <s v="Female"/>
    <n v="20"/>
    <n v="10"/>
    <s v="Yes"/>
    <s v="Government"/>
    <n v="4.0999999999999996"/>
    <n v="32566.959999999999"/>
    <n v="4"/>
    <x v="1"/>
  </r>
  <r>
    <n v="313"/>
    <n v="69"/>
    <s v="Male"/>
    <n v="28"/>
    <n v="7"/>
    <s v="No"/>
    <s v="None"/>
    <n v="1.1000000000000001"/>
    <n v="6584.57"/>
    <n v="4"/>
    <x v="1"/>
  </r>
  <r>
    <n v="314"/>
    <n v="51"/>
    <s v="Female"/>
    <n v="11"/>
    <n v="11"/>
    <s v="Yes"/>
    <s v="Private"/>
    <n v="1.3"/>
    <n v="44488.62"/>
    <n v="0"/>
    <x v="0"/>
  </r>
  <r>
    <n v="315"/>
    <n v="23"/>
    <s v="Male"/>
    <n v="4"/>
    <n v="6"/>
    <s v="No"/>
    <s v="Private"/>
    <n v="2.9"/>
    <n v="25402.66"/>
    <n v="5"/>
    <x v="1"/>
  </r>
  <r>
    <n v="316"/>
    <n v="39"/>
    <s v="Male"/>
    <n v="15"/>
    <n v="14"/>
    <s v="No"/>
    <s v="Government"/>
    <n v="4.5999999999999996"/>
    <n v="22742.81"/>
    <n v="0"/>
    <x v="1"/>
  </r>
  <r>
    <n v="317"/>
    <n v="28"/>
    <s v="Female"/>
    <n v="6"/>
    <n v="16"/>
    <s v="Yes"/>
    <s v="Government"/>
    <n v="3.2"/>
    <n v="29500.31"/>
    <n v="4"/>
    <x v="0"/>
  </r>
  <r>
    <n v="318"/>
    <n v="65"/>
    <s v="Male"/>
    <n v="54"/>
    <n v="3"/>
    <s v="No"/>
    <s v="Private"/>
    <n v="3"/>
    <n v="31426.799999999999"/>
    <n v="8"/>
    <x v="0"/>
  </r>
  <r>
    <n v="319"/>
    <n v="33"/>
    <s v="Male"/>
    <n v="49"/>
    <n v="12"/>
    <s v="No"/>
    <s v="Government"/>
    <n v="1.4"/>
    <n v="4052.9"/>
    <n v="4"/>
    <x v="0"/>
  </r>
  <r>
    <n v="320"/>
    <n v="50"/>
    <s v="Female"/>
    <n v="30"/>
    <n v="17"/>
    <s v="No"/>
    <s v="Private"/>
    <n v="3.6"/>
    <n v="34289.550000000003"/>
    <n v="5"/>
    <x v="1"/>
  </r>
  <r>
    <n v="321"/>
    <n v="26"/>
    <s v="Male"/>
    <n v="56"/>
    <n v="0"/>
    <s v="No"/>
    <s v="None"/>
    <n v="4.3"/>
    <n v="12475.62"/>
    <n v="7"/>
    <x v="1"/>
  </r>
  <r>
    <n v="322"/>
    <n v="77"/>
    <s v="Male"/>
    <n v="38"/>
    <n v="15"/>
    <s v="No"/>
    <s v="Government"/>
    <n v="2.5"/>
    <n v="35840.660000000003"/>
    <n v="0"/>
    <x v="1"/>
  </r>
  <r>
    <n v="323"/>
    <n v="76"/>
    <s v="Male"/>
    <n v="51"/>
    <n v="12"/>
    <s v="No"/>
    <s v="Private"/>
    <n v="4.0999999999999996"/>
    <n v="41215.47"/>
    <n v="1"/>
    <x v="1"/>
  </r>
  <r>
    <n v="324"/>
    <n v="23"/>
    <s v="Male"/>
    <n v="57"/>
    <n v="9"/>
    <s v="No"/>
    <s v="Government"/>
    <n v="4.9000000000000004"/>
    <n v="40295.949999999997"/>
    <n v="8"/>
    <x v="1"/>
  </r>
  <r>
    <n v="325"/>
    <n v="33"/>
    <s v="Female"/>
    <n v="2"/>
    <n v="11"/>
    <s v="No"/>
    <s v="Private"/>
    <n v="1.8"/>
    <n v="27848.799999999999"/>
    <n v="2"/>
    <x v="1"/>
  </r>
  <r>
    <n v="326"/>
    <n v="46"/>
    <s v="Female"/>
    <n v="15"/>
    <n v="1"/>
    <s v="Yes"/>
    <s v="Private"/>
    <n v="3.1"/>
    <n v="26248.41"/>
    <n v="5"/>
    <x v="0"/>
  </r>
  <r>
    <n v="327"/>
    <n v="20"/>
    <s v="Male"/>
    <n v="11"/>
    <n v="2"/>
    <s v="Yes"/>
    <s v="Government"/>
    <n v="2.1"/>
    <n v="7572.36"/>
    <n v="4"/>
    <x v="1"/>
  </r>
  <r>
    <n v="328"/>
    <n v="37"/>
    <s v="Female"/>
    <n v="8"/>
    <n v="9"/>
    <s v="No"/>
    <s v="None"/>
    <n v="4.2"/>
    <n v="38879.629999999997"/>
    <n v="1"/>
    <x v="1"/>
  </r>
  <r>
    <n v="329"/>
    <n v="77"/>
    <s v="Male"/>
    <n v="26"/>
    <n v="1"/>
    <s v="Yes"/>
    <s v="Private"/>
    <n v="3.3"/>
    <n v="13934.76"/>
    <n v="6"/>
    <x v="1"/>
  </r>
  <r>
    <n v="330"/>
    <n v="76"/>
    <s v="Female"/>
    <n v="51"/>
    <n v="12"/>
    <s v="No"/>
    <s v="Private"/>
    <n v="3.5"/>
    <n v="25086.42"/>
    <n v="3"/>
    <x v="1"/>
  </r>
  <r>
    <n v="331"/>
    <n v="53"/>
    <s v="Male"/>
    <n v="45"/>
    <n v="12"/>
    <s v="No"/>
    <s v="Private"/>
    <n v="4.2"/>
    <n v="14571.57"/>
    <n v="0"/>
    <x v="1"/>
  </r>
  <r>
    <n v="332"/>
    <n v="36"/>
    <s v="Male"/>
    <n v="44"/>
    <n v="17"/>
    <s v="Yes"/>
    <s v="None"/>
    <n v="2.6"/>
    <n v="7124.5"/>
    <n v="3"/>
    <x v="1"/>
  </r>
  <r>
    <n v="333"/>
    <n v="43"/>
    <s v="Male"/>
    <n v="5"/>
    <n v="2"/>
    <s v="No"/>
    <s v="None"/>
    <n v="4.7"/>
    <n v="31663.11"/>
    <n v="5"/>
    <x v="1"/>
  </r>
  <r>
    <n v="334"/>
    <n v="20"/>
    <s v="Male"/>
    <n v="6"/>
    <n v="6"/>
    <s v="No"/>
    <s v="Government"/>
    <n v="3.1"/>
    <n v="3189.44"/>
    <n v="6"/>
    <x v="1"/>
  </r>
  <r>
    <n v="335"/>
    <n v="36"/>
    <s v="Male"/>
    <n v="26"/>
    <n v="13"/>
    <s v="No"/>
    <s v="None"/>
    <n v="1.6"/>
    <n v="37557.94"/>
    <n v="6"/>
    <x v="0"/>
  </r>
  <r>
    <n v="336"/>
    <n v="37"/>
    <s v="Male"/>
    <n v="54"/>
    <n v="19"/>
    <s v="No"/>
    <s v="Government"/>
    <n v="3.8"/>
    <n v="16220.55"/>
    <n v="6"/>
    <x v="0"/>
  </r>
  <r>
    <n v="337"/>
    <n v="49"/>
    <s v="Female"/>
    <n v="4"/>
    <n v="16"/>
    <s v="Yes"/>
    <s v="Government"/>
    <n v="4.2"/>
    <n v="506.67"/>
    <n v="2"/>
    <x v="1"/>
  </r>
  <r>
    <n v="338"/>
    <n v="24"/>
    <s v="Male"/>
    <n v="19"/>
    <n v="11"/>
    <s v="No"/>
    <s v="None"/>
    <n v="2.2999999999999998"/>
    <n v="25800.89"/>
    <n v="5"/>
    <x v="1"/>
  </r>
  <r>
    <n v="339"/>
    <n v="69"/>
    <s v="Female"/>
    <n v="20"/>
    <n v="15"/>
    <s v="No"/>
    <s v="Government"/>
    <n v="4.4000000000000004"/>
    <n v="2819.17"/>
    <n v="7"/>
    <x v="0"/>
  </r>
  <r>
    <n v="340"/>
    <n v="58"/>
    <s v="Male"/>
    <n v="33"/>
    <n v="11"/>
    <s v="No"/>
    <s v="None"/>
    <n v="4.5999999999999996"/>
    <n v="14170.39"/>
    <n v="3"/>
    <x v="0"/>
  </r>
  <r>
    <n v="341"/>
    <n v="50"/>
    <s v="Female"/>
    <n v="20"/>
    <n v="14"/>
    <s v="Yes"/>
    <s v="Government"/>
    <n v="2.1"/>
    <n v="35495.339999999997"/>
    <n v="7"/>
    <x v="1"/>
  </r>
  <r>
    <n v="342"/>
    <n v="57"/>
    <s v="Female"/>
    <n v="49"/>
    <n v="9"/>
    <s v="No"/>
    <s v="None"/>
    <n v="4.9000000000000004"/>
    <n v="3603.14"/>
    <n v="1"/>
    <x v="1"/>
  </r>
  <r>
    <n v="343"/>
    <n v="56"/>
    <s v="Female"/>
    <n v="12"/>
    <n v="6"/>
    <s v="Yes"/>
    <s v="None"/>
    <n v="1.6"/>
    <n v="42047.26"/>
    <n v="9"/>
    <x v="1"/>
  </r>
  <r>
    <n v="344"/>
    <n v="35"/>
    <s v="Male"/>
    <n v="47"/>
    <n v="19"/>
    <s v="Yes"/>
    <s v="Government"/>
    <n v="1.8"/>
    <n v="689.09"/>
    <n v="8"/>
    <x v="0"/>
  </r>
  <r>
    <n v="345"/>
    <n v="57"/>
    <s v="Male"/>
    <n v="1"/>
    <n v="4"/>
    <s v="No"/>
    <s v="Private"/>
    <n v="1.7"/>
    <n v="12717.78"/>
    <n v="8"/>
    <x v="0"/>
  </r>
  <r>
    <n v="346"/>
    <n v="18"/>
    <s v="Female"/>
    <n v="26"/>
    <n v="0"/>
    <s v="No"/>
    <s v="Government"/>
    <n v="4.5999999999999996"/>
    <n v="37174.75"/>
    <n v="7"/>
    <x v="1"/>
  </r>
  <r>
    <n v="347"/>
    <n v="28"/>
    <s v="Male"/>
    <n v="14"/>
    <n v="16"/>
    <s v="Yes"/>
    <s v="None"/>
    <n v="3.6"/>
    <n v="16155.37"/>
    <n v="9"/>
    <x v="0"/>
  </r>
  <r>
    <n v="348"/>
    <n v="45"/>
    <s v="Female"/>
    <n v="38"/>
    <n v="2"/>
    <s v="No"/>
    <s v="Private"/>
    <n v="1.6"/>
    <n v="5543.67"/>
    <n v="9"/>
    <x v="1"/>
  </r>
  <r>
    <n v="349"/>
    <n v="74"/>
    <s v="Male"/>
    <n v="37"/>
    <n v="12"/>
    <s v="Yes"/>
    <s v="Government"/>
    <n v="2.8"/>
    <n v="18331.580000000002"/>
    <n v="0"/>
    <x v="0"/>
  </r>
  <r>
    <n v="350"/>
    <n v="42"/>
    <s v="Female"/>
    <n v="11"/>
    <n v="13"/>
    <s v="Yes"/>
    <s v="Government"/>
    <n v="3.5"/>
    <n v="13884.47"/>
    <n v="1"/>
    <x v="1"/>
  </r>
  <r>
    <n v="351"/>
    <n v="67"/>
    <s v="Female"/>
    <n v="36"/>
    <n v="17"/>
    <s v="No"/>
    <s v="Government"/>
    <n v="1.3"/>
    <n v="42214.239999999998"/>
    <n v="5"/>
    <x v="0"/>
  </r>
  <r>
    <n v="352"/>
    <n v="40"/>
    <s v="Male"/>
    <n v="13"/>
    <n v="3"/>
    <s v="No"/>
    <s v="Private"/>
    <n v="4.5"/>
    <n v="16010.72"/>
    <n v="9"/>
    <x v="1"/>
  </r>
  <r>
    <n v="353"/>
    <n v="48"/>
    <s v="Female"/>
    <n v="43"/>
    <n v="17"/>
    <s v="Yes"/>
    <s v="None"/>
    <n v="4.2"/>
    <n v="39552.160000000003"/>
    <n v="4"/>
    <x v="1"/>
  </r>
  <r>
    <n v="354"/>
    <n v="47"/>
    <s v="Male"/>
    <n v="3"/>
    <n v="4"/>
    <s v="Yes"/>
    <s v="Government"/>
    <n v="3"/>
    <n v="44647.67"/>
    <n v="8"/>
    <x v="1"/>
  </r>
  <r>
    <n v="355"/>
    <n v="59"/>
    <s v="Female"/>
    <n v="33"/>
    <n v="15"/>
    <s v="Yes"/>
    <s v="Government"/>
    <n v="4.9000000000000004"/>
    <n v="21973.96"/>
    <n v="4"/>
    <x v="0"/>
  </r>
  <r>
    <n v="356"/>
    <n v="52"/>
    <s v="Female"/>
    <n v="6"/>
    <n v="0"/>
    <s v="Yes"/>
    <s v="Government"/>
    <n v="2.7"/>
    <n v="45542.19"/>
    <n v="1"/>
    <x v="0"/>
  </r>
  <r>
    <n v="357"/>
    <n v="24"/>
    <s v="Male"/>
    <n v="50"/>
    <n v="13"/>
    <s v="No"/>
    <s v="Government"/>
    <n v="4.9000000000000004"/>
    <n v="19177.240000000002"/>
    <n v="9"/>
    <x v="0"/>
  </r>
  <r>
    <n v="358"/>
    <n v="77"/>
    <s v="Male"/>
    <n v="56"/>
    <n v="14"/>
    <s v="No"/>
    <s v="Government"/>
    <n v="3.7"/>
    <n v="48221.88"/>
    <n v="3"/>
    <x v="0"/>
  </r>
  <r>
    <n v="359"/>
    <n v="33"/>
    <s v="Male"/>
    <n v="10"/>
    <n v="8"/>
    <s v="No"/>
    <s v="None"/>
    <n v="3.5"/>
    <n v="4919.83"/>
    <n v="8"/>
    <x v="1"/>
  </r>
  <r>
    <n v="360"/>
    <n v="43"/>
    <s v="Female"/>
    <n v="5"/>
    <n v="14"/>
    <s v="No"/>
    <s v="None"/>
    <n v="1.7"/>
    <n v="34507.449999999997"/>
    <n v="0"/>
    <x v="1"/>
  </r>
  <r>
    <n v="361"/>
    <n v="65"/>
    <s v="Male"/>
    <n v="23"/>
    <n v="16"/>
    <s v="No"/>
    <s v="Government"/>
    <n v="4.5"/>
    <n v="24943.8"/>
    <n v="0"/>
    <x v="1"/>
  </r>
  <r>
    <n v="362"/>
    <n v="74"/>
    <s v="Female"/>
    <n v="10"/>
    <n v="3"/>
    <s v="Yes"/>
    <s v="Private"/>
    <n v="2.7"/>
    <n v="19688.62"/>
    <n v="6"/>
    <x v="1"/>
  </r>
  <r>
    <n v="363"/>
    <n v="69"/>
    <s v="Female"/>
    <n v="44"/>
    <n v="11"/>
    <s v="No"/>
    <s v="None"/>
    <n v="1.6"/>
    <n v="31819.24"/>
    <n v="2"/>
    <x v="1"/>
  </r>
  <r>
    <n v="364"/>
    <n v="77"/>
    <s v="Male"/>
    <n v="2"/>
    <n v="4"/>
    <s v="No"/>
    <s v="Private"/>
    <n v="1.1000000000000001"/>
    <n v="35340.93"/>
    <n v="9"/>
    <x v="1"/>
  </r>
  <r>
    <n v="365"/>
    <n v="66"/>
    <s v="Male"/>
    <n v="13"/>
    <n v="4"/>
    <s v="No"/>
    <s v="None"/>
    <n v="3.2"/>
    <n v="715.98"/>
    <n v="1"/>
    <x v="1"/>
  </r>
  <r>
    <n v="366"/>
    <n v="19"/>
    <s v="Female"/>
    <n v="40"/>
    <n v="10"/>
    <s v="No"/>
    <s v="Government"/>
    <n v="3.1"/>
    <n v="8764.18"/>
    <n v="8"/>
    <x v="1"/>
  </r>
  <r>
    <n v="367"/>
    <n v="18"/>
    <s v="Female"/>
    <n v="2"/>
    <n v="5"/>
    <s v="No"/>
    <s v="None"/>
    <n v="3.9"/>
    <n v="35795.78"/>
    <n v="2"/>
    <x v="1"/>
  </r>
  <r>
    <n v="368"/>
    <n v="65"/>
    <s v="Male"/>
    <n v="20"/>
    <n v="6"/>
    <s v="Yes"/>
    <s v="Government"/>
    <n v="4.5999999999999996"/>
    <n v="33486.080000000002"/>
    <n v="1"/>
    <x v="1"/>
  </r>
  <r>
    <n v="369"/>
    <n v="79"/>
    <s v="Male"/>
    <n v="1"/>
    <n v="13"/>
    <s v="Yes"/>
    <s v="None"/>
    <n v="1.3"/>
    <n v="48319.35"/>
    <n v="7"/>
    <x v="0"/>
  </r>
  <r>
    <n v="370"/>
    <n v="29"/>
    <s v="Male"/>
    <n v="37"/>
    <n v="10"/>
    <s v="Yes"/>
    <s v="Government"/>
    <n v="3.9"/>
    <n v="38171.370000000003"/>
    <n v="9"/>
    <x v="0"/>
  </r>
  <r>
    <n v="371"/>
    <n v="22"/>
    <s v="Male"/>
    <n v="9"/>
    <n v="12"/>
    <s v="No"/>
    <s v="Government"/>
    <n v="1.7"/>
    <n v="47563.25"/>
    <n v="5"/>
    <x v="0"/>
  </r>
  <r>
    <n v="372"/>
    <n v="54"/>
    <s v="Male"/>
    <n v="17"/>
    <n v="1"/>
    <s v="Yes"/>
    <s v="Government"/>
    <n v="4.4000000000000004"/>
    <n v="35275.75"/>
    <n v="5"/>
    <x v="1"/>
  </r>
  <r>
    <n v="373"/>
    <n v="49"/>
    <s v="Female"/>
    <n v="9"/>
    <n v="6"/>
    <s v="Yes"/>
    <s v="Government"/>
    <n v="4.3"/>
    <n v="15253.58"/>
    <n v="9"/>
    <x v="1"/>
  </r>
  <r>
    <n v="374"/>
    <n v="76"/>
    <s v="Female"/>
    <n v="11"/>
    <n v="19"/>
    <s v="No"/>
    <s v="Private"/>
    <n v="3.2"/>
    <n v="5715.56"/>
    <n v="6"/>
    <x v="0"/>
  </r>
  <r>
    <n v="375"/>
    <n v="72"/>
    <s v="Female"/>
    <n v="15"/>
    <n v="3"/>
    <s v="No"/>
    <s v="Government"/>
    <n v="3.8"/>
    <n v="39200.28"/>
    <n v="6"/>
    <x v="1"/>
  </r>
  <r>
    <n v="376"/>
    <n v="26"/>
    <s v="Female"/>
    <n v="24"/>
    <n v="7"/>
    <s v="No"/>
    <s v="Private"/>
    <n v="2.2999999999999998"/>
    <n v="32385.39"/>
    <n v="5"/>
    <x v="1"/>
  </r>
  <r>
    <n v="377"/>
    <n v="58"/>
    <s v="Male"/>
    <n v="38"/>
    <n v="19"/>
    <s v="Yes"/>
    <s v="Private"/>
    <n v="2.9"/>
    <n v="2885.21"/>
    <n v="3"/>
    <x v="1"/>
  </r>
  <r>
    <n v="378"/>
    <n v="52"/>
    <s v="Male"/>
    <n v="55"/>
    <n v="18"/>
    <s v="Yes"/>
    <s v="Government"/>
    <n v="4.3"/>
    <n v="18322.5"/>
    <n v="8"/>
    <x v="1"/>
  </r>
  <r>
    <n v="379"/>
    <n v="36"/>
    <s v="Male"/>
    <n v="35"/>
    <n v="12"/>
    <s v="No"/>
    <s v="Private"/>
    <n v="2.8"/>
    <n v="47861.59"/>
    <n v="5"/>
    <x v="1"/>
  </r>
  <r>
    <n v="380"/>
    <n v="65"/>
    <s v="Female"/>
    <n v="30"/>
    <n v="13"/>
    <s v="No"/>
    <s v="None"/>
    <n v="2.4"/>
    <n v="25269.86"/>
    <n v="3"/>
    <x v="1"/>
  </r>
  <r>
    <n v="381"/>
    <n v="33"/>
    <s v="Female"/>
    <n v="31"/>
    <n v="9"/>
    <s v="Yes"/>
    <s v="Government"/>
    <n v="3"/>
    <n v="21920.09"/>
    <n v="2"/>
    <x v="1"/>
  </r>
  <r>
    <n v="382"/>
    <n v="20"/>
    <s v="Male"/>
    <n v="49"/>
    <n v="10"/>
    <s v="Yes"/>
    <s v="Private"/>
    <n v="4.3"/>
    <n v="23156.13"/>
    <n v="3"/>
    <x v="1"/>
  </r>
  <r>
    <n v="383"/>
    <n v="37"/>
    <s v="Male"/>
    <n v="5"/>
    <n v="1"/>
    <s v="No"/>
    <s v="Government"/>
    <n v="2.2999999999999998"/>
    <n v="10839.69"/>
    <n v="2"/>
    <x v="1"/>
  </r>
  <r>
    <n v="384"/>
    <n v="41"/>
    <s v="Female"/>
    <n v="44"/>
    <n v="8"/>
    <s v="No"/>
    <s v="Government"/>
    <n v="1.7"/>
    <n v="18751"/>
    <n v="1"/>
    <x v="0"/>
  </r>
  <r>
    <n v="385"/>
    <n v="71"/>
    <s v="Female"/>
    <n v="50"/>
    <n v="16"/>
    <s v="Yes"/>
    <s v="Government"/>
    <n v="3.8"/>
    <n v="18805.759999999998"/>
    <n v="4"/>
    <x v="1"/>
  </r>
  <r>
    <n v="386"/>
    <n v="73"/>
    <s v="Male"/>
    <n v="14"/>
    <n v="2"/>
    <s v="No"/>
    <s v="Private"/>
    <n v="4.3"/>
    <n v="3091.57"/>
    <n v="1"/>
    <x v="1"/>
  </r>
  <r>
    <n v="387"/>
    <n v="50"/>
    <s v="Male"/>
    <n v="53"/>
    <n v="5"/>
    <s v="Yes"/>
    <s v="None"/>
    <n v="1.4"/>
    <n v="38494.6"/>
    <n v="5"/>
    <x v="0"/>
  </r>
  <r>
    <n v="388"/>
    <n v="41"/>
    <s v="Female"/>
    <n v="56"/>
    <n v="4"/>
    <s v="Yes"/>
    <s v="None"/>
    <n v="2"/>
    <n v="21116.97"/>
    <n v="2"/>
    <x v="1"/>
  </r>
  <r>
    <n v="389"/>
    <n v="69"/>
    <s v="Male"/>
    <n v="11"/>
    <n v="4"/>
    <s v="Yes"/>
    <s v="Private"/>
    <n v="1.6"/>
    <n v="41197.9"/>
    <n v="5"/>
    <x v="1"/>
  </r>
  <r>
    <n v="390"/>
    <n v="28"/>
    <s v="Male"/>
    <n v="9"/>
    <n v="14"/>
    <s v="Yes"/>
    <s v="Government"/>
    <n v="2.4"/>
    <n v="42592.23"/>
    <n v="9"/>
    <x v="1"/>
  </r>
  <r>
    <n v="391"/>
    <n v="66"/>
    <s v="Male"/>
    <n v="34"/>
    <n v="16"/>
    <s v="No"/>
    <s v="Private"/>
    <n v="2.8"/>
    <n v="10993.71"/>
    <n v="8"/>
    <x v="1"/>
  </r>
  <r>
    <n v="392"/>
    <n v="25"/>
    <s v="Female"/>
    <n v="12"/>
    <n v="8"/>
    <s v="No"/>
    <s v="Private"/>
    <n v="4"/>
    <n v="33039"/>
    <n v="0"/>
    <x v="1"/>
  </r>
  <r>
    <n v="393"/>
    <n v="53"/>
    <s v="Female"/>
    <n v="35"/>
    <n v="2"/>
    <s v="Yes"/>
    <s v="Private"/>
    <n v="3.6"/>
    <n v="23877.95"/>
    <n v="5"/>
    <x v="0"/>
  </r>
  <r>
    <n v="394"/>
    <n v="55"/>
    <s v="Female"/>
    <n v="35"/>
    <n v="19"/>
    <s v="Yes"/>
    <s v="Government"/>
    <n v="3.5"/>
    <n v="44067.76"/>
    <n v="8"/>
    <x v="1"/>
  </r>
  <r>
    <n v="395"/>
    <n v="57"/>
    <s v="Female"/>
    <n v="1"/>
    <n v="16"/>
    <s v="Yes"/>
    <s v="Private"/>
    <n v="2.4"/>
    <n v="11179.16"/>
    <n v="3"/>
    <x v="1"/>
  </r>
  <r>
    <n v="396"/>
    <n v="37"/>
    <s v="Female"/>
    <n v="40"/>
    <n v="9"/>
    <s v="Yes"/>
    <s v="Government"/>
    <n v="4.4000000000000004"/>
    <n v="34051.75"/>
    <n v="1"/>
    <x v="1"/>
  </r>
  <r>
    <n v="397"/>
    <n v="79"/>
    <s v="Female"/>
    <n v="22"/>
    <n v="2"/>
    <s v="Yes"/>
    <s v="Private"/>
    <n v="2.9"/>
    <n v="30583.73"/>
    <n v="3"/>
    <x v="1"/>
  </r>
  <r>
    <n v="398"/>
    <n v="52"/>
    <s v="Female"/>
    <n v="29"/>
    <n v="17"/>
    <s v="No"/>
    <s v="None"/>
    <n v="4.9000000000000004"/>
    <n v="15117.42"/>
    <n v="0"/>
    <x v="1"/>
  </r>
  <r>
    <n v="399"/>
    <n v="65"/>
    <s v="Male"/>
    <n v="8"/>
    <n v="17"/>
    <s v="No"/>
    <s v="Private"/>
    <n v="3.5"/>
    <n v="7261.74"/>
    <n v="2"/>
    <x v="1"/>
  </r>
  <r>
    <n v="400"/>
    <n v="79"/>
    <s v="Male"/>
    <n v="11"/>
    <n v="16"/>
    <s v="No"/>
    <s v="Private"/>
    <n v="1.5"/>
    <n v="32756.17"/>
    <n v="9"/>
    <x v="1"/>
  </r>
  <r>
    <n v="401"/>
    <n v="42"/>
    <s v="Male"/>
    <n v="41"/>
    <n v="2"/>
    <s v="No"/>
    <s v="None"/>
    <n v="3.7"/>
    <n v="37060.57"/>
    <n v="8"/>
    <x v="1"/>
  </r>
  <r>
    <n v="402"/>
    <n v="52"/>
    <s v="Male"/>
    <n v="37"/>
    <n v="2"/>
    <s v="Yes"/>
    <s v="Government"/>
    <n v="2.2999999999999998"/>
    <n v="16123.55"/>
    <n v="9"/>
    <x v="1"/>
  </r>
  <r>
    <n v="403"/>
    <n v="42"/>
    <s v="Male"/>
    <n v="14"/>
    <n v="5"/>
    <s v="Yes"/>
    <s v="Government"/>
    <n v="3.7"/>
    <n v="32419.21"/>
    <n v="4"/>
    <x v="1"/>
  </r>
  <r>
    <n v="404"/>
    <n v="46"/>
    <s v="Male"/>
    <n v="30"/>
    <n v="12"/>
    <s v="Yes"/>
    <s v="Private"/>
    <n v="1.3"/>
    <n v="20058.98"/>
    <n v="5"/>
    <x v="0"/>
  </r>
  <r>
    <n v="405"/>
    <n v="35"/>
    <s v="Male"/>
    <n v="35"/>
    <n v="14"/>
    <s v="Yes"/>
    <s v="None"/>
    <n v="1.7"/>
    <n v="35803.74"/>
    <n v="2"/>
    <x v="1"/>
  </r>
  <r>
    <n v="406"/>
    <n v="63"/>
    <s v="Female"/>
    <n v="21"/>
    <n v="8"/>
    <s v="Yes"/>
    <s v="Government"/>
    <n v="4.4000000000000004"/>
    <n v="10361.16"/>
    <n v="4"/>
    <x v="1"/>
  </r>
  <r>
    <n v="407"/>
    <n v="35"/>
    <s v="Female"/>
    <n v="37"/>
    <n v="3"/>
    <s v="No"/>
    <s v="Private"/>
    <n v="1.9"/>
    <n v="44565.64"/>
    <n v="7"/>
    <x v="1"/>
  </r>
  <r>
    <n v="408"/>
    <n v="19"/>
    <s v="Male"/>
    <n v="5"/>
    <n v="13"/>
    <s v="Yes"/>
    <s v="None"/>
    <n v="4.3"/>
    <n v="14726.78"/>
    <n v="5"/>
    <x v="1"/>
  </r>
  <r>
    <n v="409"/>
    <n v="71"/>
    <s v="Male"/>
    <n v="19"/>
    <n v="4"/>
    <s v="No"/>
    <s v="Government"/>
    <n v="2.1"/>
    <n v="18705.41"/>
    <n v="3"/>
    <x v="1"/>
  </r>
  <r>
    <n v="410"/>
    <n v="52"/>
    <s v="Female"/>
    <n v="59"/>
    <n v="1"/>
    <s v="No"/>
    <s v="Government"/>
    <n v="3.6"/>
    <n v="3375.55"/>
    <n v="1"/>
    <x v="1"/>
  </r>
  <r>
    <n v="411"/>
    <n v="33"/>
    <s v="Male"/>
    <n v="14"/>
    <n v="10"/>
    <s v="No"/>
    <s v="None"/>
    <n v="3.8"/>
    <n v="6019.85"/>
    <n v="8"/>
    <x v="0"/>
  </r>
  <r>
    <n v="412"/>
    <n v="78"/>
    <s v="Male"/>
    <n v="26"/>
    <n v="8"/>
    <s v="No"/>
    <s v="None"/>
    <n v="3.1"/>
    <n v="26035.16"/>
    <n v="0"/>
    <x v="0"/>
  </r>
  <r>
    <n v="413"/>
    <n v="58"/>
    <s v="Female"/>
    <n v="4"/>
    <n v="2"/>
    <s v="Yes"/>
    <s v="None"/>
    <n v="2.2000000000000002"/>
    <n v="13745.84"/>
    <n v="0"/>
    <x v="1"/>
  </r>
  <r>
    <n v="414"/>
    <n v="53"/>
    <s v="Male"/>
    <n v="25"/>
    <n v="8"/>
    <s v="No"/>
    <s v="None"/>
    <n v="1.9"/>
    <n v="41856.269999999997"/>
    <n v="3"/>
    <x v="1"/>
  </r>
  <r>
    <n v="415"/>
    <n v="50"/>
    <s v="Female"/>
    <n v="45"/>
    <n v="2"/>
    <s v="No"/>
    <s v="Private"/>
    <n v="1.1000000000000001"/>
    <n v="1227.32"/>
    <n v="6"/>
    <x v="0"/>
  </r>
  <r>
    <n v="416"/>
    <n v="21"/>
    <s v="Male"/>
    <n v="42"/>
    <n v="1"/>
    <s v="No"/>
    <s v="None"/>
    <n v="2.2000000000000002"/>
    <n v="19265.16"/>
    <n v="0"/>
    <x v="0"/>
  </r>
  <r>
    <n v="417"/>
    <n v="50"/>
    <s v="Female"/>
    <n v="25"/>
    <n v="11"/>
    <s v="Yes"/>
    <s v="Government"/>
    <n v="3.6"/>
    <n v="17198.599999999999"/>
    <n v="8"/>
    <x v="0"/>
  </r>
  <r>
    <n v="418"/>
    <n v="31"/>
    <s v="Female"/>
    <n v="18"/>
    <n v="9"/>
    <s v="Yes"/>
    <s v="Government"/>
    <n v="4.8"/>
    <n v="1456.72"/>
    <n v="3"/>
    <x v="1"/>
  </r>
  <r>
    <n v="419"/>
    <n v="38"/>
    <s v="Female"/>
    <n v="40"/>
    <n v="8"/>
    <s v="Yes"/>
    <s v="Private"/>
    <n v="4.5"/>
    <n v="6656.24"/>
    <n v="2"/>
    <x v="1"/>
  </r>
  <r>
    <n v="420"/>
    <n v="65"/>
    <s v="Male"/>
    <n v="8"/>
    <n v="14"/>
    <s v="No"/>
    <s v="Government"/>
    <n v="4.0999999999999996"/>
    <n v="20975.31"/>
    <n v="0"/>
    <x v="1"/>
  </r>
  <r>
    <n v="421"/>
    <n v="37"/>
    <s v="Female"/>
    <n v="39"/>
    <n v="7"/>
    <s v="No"/>
    <s v="Government"/>
    <n v="4.2"/>
    <n v="24896.799999999999"/>
    <n v="9"/>
    <x v="1"/>
  </r>
  <r>
    <n v="422"/>
    <n v="73"/>
    <s v="Male"/>
    <n v="40"/>
    <n v="4"/>
    <s v="Yes"/>
    <s v="None"/>
    <n v="3.7"/>
    <n v="20512.34"/>
    <n v="3"/>
    <x v="1"/>
  </r>
  <r>
    <n v="423"/>
    <n v="25"/>
    <s v="Male"/>
    <n v="14"/>
    <n v="10"/>
    <s v="No"/>
    <s v="Government"/>
    <n v="2"/>
    <n v="26781.42"/>
    <n v="8"/>
    <x v="1"/>
  </r>
  <r>
    <n v="424"/>
    <n v="24"/>
    <s v="Male"/>
    <n v="32"/>
    <n v="1"/>
    <s v="Yes"/>
    <s v="Private"/>
    <n v="4.5999999999999996"/>
    <n v="29959.02"/>
    <n v="9"/>
    <x v="0"/>
  </r>
  <r>
    <n v="425"/>
    <n v="20"/>
    <s v="Male"/>
    <n v="51"/>
    <n v="14"/>
    <s v="Yes"/>
    <s v="None"/>
    <n v="3.7"/>
    <n v="991.23"/>
    <n v="5"/>
    <x v="1"/>
  </r>
  <r>
    <n v="426"/>
    <n v="34"/>
    <s v="Female"/>
    <n v="38"/>
    <n v="5"/>
    <s v="No"/>
    <s v="None"/>
    <n v="3.2"/>
    <n v="23472.71"/>
    <n v="5"/>
    <x v="0"/>
  </r>
  <r>
    <n v="427"/>
    <n v="50"/>
    <s v="Female"/>
    <n v="33"/>
    <n v="7"/>
    <s v="No"/>
    <s v="Private"/>
    <n v="1.4"/>
    <n v="48193.21"/>
    <n v="0"/>
    <x v="1"/>
  </r>
  <r>
    <n v="428"/>
    <n v="65"/>
    <s v="Male"/>
    <n v="23"/>
    <n v="4"/>
    <s v="No"/>
    <s v="None"/>
    <n v="2.8"/>
    <n v="26192.1"/>
    <n v="9"/>
    <x v="1"/>
  </r>
  <r>
    <n v="429"/>
    <n v="29"/>
    <s v="Male"/>
    <n v="15"/>
    <n v="15"/>
    <s v="No"/>
    <s v="None"/>
    <n v="2.8"/>
    <n v="34038.339999999997"/>
    <n v="1"/>
    <x v="1"/>
  </r>
  <r>
    <n v="430"/>
    <n v="76"/>
    <s v="Female"/>
    <n v="33"/>
    <n v="17"/>
    <s v="Yes"/>
    <s v="Private"/>
    <n v="4.5"/>
    <n v="15937.26"/>
    <n v="5"/>
    <x v="0"/>
  </r>
  <r>
    <n v="431"/>
    <n v="68"/>
    <s v="Male"/>
    <n v="25"/>
    <n v="5"/>
    <s v="Yes"/>
    <s v="None"/>
    <n v="3.2"/>
    <n v="38812.57"/>
    <n v="1"/>
    <x v="1"/>
  </r>
  <r>
    <n v="432"/>
    <n v="39"/>
    <s v="Female"/>
    <n v="17"/>
    <n v="4"/>
    <s v="Yes"/>
    <s v="Private"/>
    <n v="2.5"/>
    <n v="38759.61"/>
    <n v="2"/>
    <x v="1"/>
  </r>
  <r>
    <n v="433"/>
    <n v="72"/>
    <s v="Male"/>
    <n v="33"/>
    <n v="15"/>
    <s v="Yes"/>
    <s v="Private"/>
    <n v="4.9000000000000004"/>
    <n v="26304.15"/>
    <n v="3"/>
    <x v="0"/>
  </r>
  <r>
    <n v="434"/>
    <n v="39"/>
    <s v="Male"/>
    <n v="47"/>
    <n v="12"/>
    <s v="Yes"/>
    <s v="Government"/>
    <n v="1.4"/>
    <n v="48812.68"/>
    <n v="4"/>
    <x v="1"/>
  </r>
  <r>
    <n v="435"/>
    <n v="63"/>
    <s v="Female"/>
    <n v="55"/>
    <n v="4"/>
    <s v="No"/>
    <s v="Government"/>
    <n v="2.7"/>
    <n v="6714.74"/>
    <n v="8"/>
    <x v="1"/>
  </r>
  <r>
    <n v="436"/>
    <n v="47"/>
    <s v="Male"/>
    <n v="2"/>
    <n v="12"/>
    <s v="Yes"/>
    <s v="None"/>
    <n v="1.2"/>
    <n v="1338.91"/>
    <n v="3"/>
    <x v="1"/>
  </r>
  <r>
    <n v="437"/>
    <n v="55"/>
    <s v="Female"/>
    <n v="14"/>
    <n v="16"/>
    <s v="Yes"/>
    <s v="None"/>
    <n v="4"/>
    <n v="38622.83"/>
    <n v="8"/>
    <x v="1"/>
  </r>
  <r>
    <n v="438"/>
    <n v="55"/>
    <s v="Male"/>
    <n v="53"/>
    <n v="17"/>
    <s v="Yes"/>
    <s v="Private"/>
    <n v="4.7"/>
    <n v="40454.199999999997"/>
    <n v="9"/>
    <x v="1"/>
  </r>
  <r>
    <n v="439"/>
    <n v="62"/>
    <s v="Male"/>
    <n v="40"/>
    <n v="7"/>
    <s v="No"/>
    <s v="None"/>
    <n v="2.1"/>
    <n v="6450.26"/>
    <n v="2"/>
    <x v="1"/>
  </r>
  <r>
    <n v="440"/>
    <n v="68"/>
    <s v="Male"/>
    <n v="40"/>
    <n v="12"/>
    <s v="No"/>
    <s v="Private"/>
    <n v="4.4000000000000004"/>
    <n v="13646.35"/>
    <n v="7"/>
    <x v="1"/>
  </r>
  <r>
    <n v="441"/>
    <n v="71"/>
    <s v="Female"/>
    <n v="51"/>
    <n v="18"/>
    <s v="No"/>
    <s v="Private"/>
    <n v="2.2000000000000002"/>
    <n v="1368.84"/>
    <n v="0"/>
    <x v="1"/>
  </r>
  <r>
    <n v="442"/>
    <n v="25"/>
    <s v="Male"/>
    <n v="39"/>
    <n v="2"/>
    <s v="No"/>
    <s v="None"/>
    <n v="4.5999999999999996"/>
    <n v="15018.78"/>
    <n v="8"/>
    <x v="1"/>
  </r>
  <r>
    <n v="443"/>
    <n v="44"/>
    <s v="Male"/>
    <n v="51"/>
    <n v="7"/>
    <s v="Yes"/>
    <s v="Private"/>
    <n v="4"/>
    <n v="38770.519999999997"/>
    <n v="8"/>
    <x v="1"/>
  </r>
  <r>
    <n v="444"/>
    <n v="44"/>
    <s v="Male"/>
    <n v="6"/>
    <n v="1"/>
    <s v="Yes"/>
    <s v="Government"/>
    <n v="4.2"/>
    <n v="26139.05"/>
    <n v="9"/>
    <x v="1"/>
  </r>
  <r>
    <n v="445"/>
    <n v="51"/>
    <s v="Male"/>
    <n v="6"/>
    <n v="7"/>
    <s v="No"/>
    <s v="None"/>
    <n v="1.1000000000000001"/>
    <n v="17730.73"/>
    <n v="1"/>
    <x v="1"/>
  </r>
  <r>
    <n v="446"/>
    <n v="38"/>
    <s v="Female"/>
    <n v="3"/>
    <n v="12"/>
    <s v="No"/>
    <s v="Government"/>
    <n v="4.9000000000000004"/>
    <n v="18901.099999999999"/>
    <n v="3"/>
    <x v="1"/>
  </r>
  <r>
    <n v="447"/>
    <n v="47"/>
    <s v="Female"/>
    <n v="7"/>
    <n v="12"/>
    <s v="Yes"/>
    <s v="None"/>
    <n v="3.9"/>
    <n v="567"/>
    <n v="7"/>
    <x v="1"/>
  </r>
  <r>
    <n v="448"/>
    <n v="50"/>
    <s v="Male"/>
    <n v="51"/>
    <n v="0"/>
    <s v="Yes"/>
    <s v="Private"/>
    <n v="2.2000000000000002"/>
    <n v="15340.13"/>
    <n v="6"/>
    <x v="1"/>
  </r>
  <r>
    <n v="449"/>
    <n v="45"/>
    <s v="Female"/>
    <n v="8"/>
    <n v="5"/>
    <s v="No"/>
    <s v="None"/>
    <n v="4.3"/>
    <n v="32499.71"/>
    <n v="0"/>
    <x v="0"/>
  </r>
  <r>
    <n v="450"/>
    <n v="64"/>
    <s v="Male"/>
    <n v="42"/>
    <n v="18"/>
    <s v="No"/>
    <s v="Government"/>
    <n v="2.1"/>
    <n v="48722.62"/>
    <n v="4"/>
    <x v="1"/>
  </r>
  <r>
    <n v="451"/>
    <n v="50"/>
    <s v="Male"/>
    <n v="52"/>
    <n v="15"/>
    <s v="No"/>
    <s v="Private"/>
    <n v="4.5"/>
    <n v="42429.51"/>
    <n v="6"/>
    <x v="0"/>
  </r>
  <r>
    <n v="452"/>
    <n v="22"/>
    <s v="Male"/>
    <n v="15"/>
    <n v="7"/>
    <s v="No"/>
    <s v="None"/>
    <n v="1.5"/>
    <n v="1667.95"/>
    <n v="3"/>
    <x v="0"/>
  </r>
  <r>
    <n v="453"/>
    <n v="77"/>
    <s v="Female"/>
    <n v="47"/>
    <n v="0"/>
    <s v="Yes"/>
    <s v="None"/>
    <n v="3.8"/>
    <n v="44978.75"/>
    <n v="0"/>
    <x v="1"/>
  </r>
  <r>
    <n v="454"/>
    <n v="78"/>
    <s v="Female"/>
    <n v="29"/>
    <n v="15"/>
    <s v="Yes"/>
    <s v="None"/>
    <n v="3.2"/>
    <n v="39268.32"/>
    <n v="8"/>
    <x v="1"/>
  </r>
  <r>
    <n v="455"/>
    <n v="65"/>
    <s v="Female"/>
    <n v="33"/>
    <n v="8"/>
    <s v="Yes"/>
    <s v="Government"/>
    <n v="1.4"/>
    <n v="39128.620000000003"/>
    <n v="4"/>
    <x v="1"/>
  </r>
  <r>
    <n v="456"/>
    <n v="36"/>
    <s v="Female"/>
    <n v="52"/>
    <n v="12"/>
    <s v="No"/>
    <s v="Government"/>
    <n v="2"/>
    <n v="23170.79"/>
    <n v="1"/>
    <x v="0"/>
  </r>
  <r>
    <n v="457"/>
    <n v="21"/>
    <s v="Female"/>
    <n v="30"/>
    <n v="10"/>
    <s v="No"/>
    <s v="None"/>
    <n v="1"/>
    <n v="20201.259999999998"/>
    <n v="7"/>
    <x v="1"/>
  </r>
  <r>
    <n v="458"/>
    <n v="52"/>
    <s v="Female"/>
    <n v="39"/>
    <n v="12"/>
    <s v="Yes"/>
    <s v="Private"/>
    <n v="2.9"/>
    <n v="15494.33"/>
    <n v="1"/>
    <x v="1"/>
  </r>
  <r>
    <n v="459"/>
    <n v="66"/>
    <s v="Female"/>
    <n v="27"/>
    <n v="9"/>
    <s v="Yes"/>
    <s v="Private"/>
    <n v="2.2000000000000002"/>
    <n v="3751.9"/>
    <n v="2"/>
    <x v="1"/>
  </r>
  <r>
    <n v="460"/>
    <n v="34"/>
    <s v="Female"/>
    <n v="36"/>
    <n v="3"/>
    <s v="Yes"/>
    <s v="Government"/>
    <n v="3.4"/>
    <n v="11797.65"/>
    <n v="9"/>
    <x v="0"/>
  </r>
  <r>
    <n v="461"/>
    <n v="61"/>
    <s v="Female"/>
    <n v="29"/>
    <n v="5"/>
    <s v="Yes"/>
    <s v="Private"/>
    <n v="2.2000000000000002"/>
    <n v="12706.88"/>
    <n v="0"/>
    <x v="0"/>
  </r>
  <r>
    <n v="462"/>
    <n v="45"/>
    <s v="Male"/>
    <n v="38"/>
    <n v="6"/>
    <s v="No"/>
    <s v="Government"/>
    <n v="2.2000000000000002"/>
    <n v="24461.81"/>
    <n v="1"/>
    <x v="1"/>
  </r>
  <r>
    <n v="463"/>
    <n v="47"/>
    <s v="Female"/>
    <n v="57"/>
    <n v="4"/>
    <s v="Yes"/>
    <s v="None"/>
    <n v="4"/>
    <n v="37498.5"/>
    <n v="6"/>
    <x v="1"/>
  </r>
  <r>
    <n v="464"/>
    <n v="46"/>
    <s v="Female"/>
    <n v="33"/>
    <n v="10"/>
    <s v="Yes"/>
    <s v="Government"/>
    <n v="1.2"/>
    <n v="23953.59"/>
    <n v="9"/>
    <x v="1"/>
  </r>
  <r>
    <n v="465"/>
    <n v="63"/>
    <s v="Female"/>
    <n v="37"/>
    <n v="12"/>
    <s v="Yes"/>
    <s v="Government"/>
    <n v="4.5999999999999996"/>
    <n v="3363.3"/>
    <n v="1"/>
    <x v="1"/>
  </r>
  <r>
    <n v="466"/>
    <n v="70"/>
    <s v="Female"/>
    <n v="27"/>
    <n v="18"/>
    <s v="Yes"/>
    <s v="None"/>
    <n v="4.4000000000000004"/>
    <n v="47910.6"/>
    <n v="5"/>
    <x v="0"/>
  </r>
  <r>
    <n v="467"/>
    <n v="23"/>
    <s v="Female"/>
    <n v="55"/>
    <n v="9"/>
    <s v="Yes"/>
    <s v="Private"/>
    <n v="3.7"/>
    <n v="47164.85"/>
    <n v="2"/>
    <x v="1"/>
  </r>
  <r>
    <n v="468"/>
    <n v="52"/>
    <s v="Female"/>
    <n v="33"/>
    <n v="9"/>
    <s v="Yes"/>
    <s v="Government"/>
    <n v="3.4"/>
    <n v="39366.879999999997"/>
    <n v="3"/>
    <x v="1"/>
  </r>
  <r>
    <n v="469"/>
    <n v="77"/>
    <s v="Female"/>
    <n v="4"/>
    <n v="10"/>
    <s v="Yes"/>
    <s v="Government"/>
    <n v="4.5999999999999996"/>
    <n v="49570.73"/>
    <n v="7"/>
    <x v="1"/>
  </r>
  <r>
    <n v="470"/>
    <n v="58"/>
    <s v="Female"/>
    <n v="22"/>
    <n v="6"/>
    <s v="No"/>
    <s v="None"/>
    <n v="1.7"/>
    <n v="27451.88"/>
    <n v="2"/>
    <x v="0"/>
  </r>
  <r>
    <n v="471"/>
    <n v="54"/>
    <s v="Female"/>
    <n v="2"/>
    <n v="17"/>
    <s v="No"/>
    <s v="Private"/>
    <n v="1.3"/>
    <n v="48157.03"/>
    <n v="9"/>
    <x v="0"/>
  </r>
  <r>
    <n v="472"/>
    <n v="41"/>
    <s v="Female"/>
    <n v="10"/>
    <n v="3"/>
    <s v="No"/>
    <s v="Government"/>
    <n v="2"/>
    <n v="4242.45"/>
    <n v="5"/>
    <x v="1"/>
  </r>
  <r>
    <n v="473"/>
    <n v="46"/>
    <s v="Female"/>
    <n v="5"/>
    <n v="1"/>
    <s v="No"/>
    <s v="None"/>
    <n v="4.2"/>
    <n v="18601.2"/>
    <n v="0"/>
    <x v="0"/>
  </r>
  <r>
    <n v="474"/>
    <n v="66"/>
    <s v="Male"/>
    <n v="59"/>
    <n v="13"/>
    <s v="Yes"/>
    <s v="Government"/>
    <n v="1.1000000000000001"/>
    <n v="11656.37"/>
    <n v="6"/>
    <x v="1"/>
  </r>
  <r>
    <n v="475"/>
    <n v="63"/>
    <s v="Male"/>
    <n v="10"/>
    <n v="12"/>
    <s v="No"/>
    <s v="None"/>
    <n v="3.3"/>
    <n v="10193.74"/>
    <n v="7"/>
    <x v="1"/>
  </r>
  <r>
    <n v="476"/>
    <n v="70"/>
    <s v="Female"/>
    <n v="33"/>
    <n v="11"/>
    <s v="No"/>
    <s v="Private"/>
    <n v="5"/>
    <n v="7469.75"/>
    <n v="7"/>
    <x v="1"/>
  </r>
  <r>
    <n v="477"/>
    <n v="48"/>
    <s v="Female"/>
    <n v="54"/>
    <n v="6"/>
    <s v="Yes"/>
    <s v="Private"/>
    <n v="4.4000000000000004"/>
    <n v="31309.48"/>
    <n v="2"/>
    <x v="1"/>
  </r>
  <r>
    <n v="478"/>
    <n v="52"/>
    <s v="Male"/>
    <n v="38"/>
    <n v="1"/>
    <s v="Yes"/>
    <s v="Private"/>
    <n v="3.1"/>
    <n v="39175.43"/>
    <n v="9"/>
    <x v="1"/>
  </r>
  <r>
    <n v="479"/>
    <n v="77"/>
    <s v="Female"/>
    <n v="13"/>
    <n v="12"/>
    <s v="No"/>
    <s v="Private"/>
    <n v="1.3"/>
    <n v="29125.77"/>
    <n v="0"/>
    <x v="0"/>
  </r>
  <r>
    <n v="480"/>
    <n v="50"/>
    <s v="Male"/>
    <n v="31"/>
    <n v="13"/>
    <s v="No"/>
    <s v="Government"/>
    <n v="4.3"/>
    <n v="7774.65"/>
    <n v="8"/>
    <x v="1"/>
  </r>
  <r>
    <n v="481"/>
    <n v="69"/>
    <s v="Male"/>
    <n v="47"/>
    <n v="16"/>
    <s v="Yes"/>
    <s v="Government"/>
    <n v="3.4"/>
    <n v="40650.629999999997"/>
    <n v="5"/>
    <x v="1"/>
  </r>
  <r>
    <n v="482"/>
    <n v="78"/>
    <s v="Male"/>
    <n v="36"/>
    <n v="8"/>
    <s v="No"/>
    <s v="Private"/>
    <n v="1.5"/>
    <n v="31979.759999999998"/>
    <n v="8"/>
    <x v="1"/>
  </r>
  <r>
    <n v="483"/>
    <n v="38"/>
    <s v="Male"/>
    <n v="45"/>
    <n v="16"/>
    <s v="Yes"/>
    <s v="Private"/>
    <n v="1.4"/>
    <n v="19714.2"/>
    <n v="6"/>
    <x v="1"/>
  </r>
  <r>
    <n v="484"/>
    <n v="49"/>
    <s v="Male"/>
    <n v="24"/>
    <n v="7"/>
    <s v="Yes"/>
    <s v="Private"/>
    <n v="4.5999999999999996"/>
    <n v="33869.449999999997"/>
    <n v="0"/>
    <x v="0"/>
  </r>
  <r>
    <n v="485"/>
    <n v="40"/>
    <s v="Female"/>
    <n v="52"/>
    <n v="1"/>
    <s v="Yes"/>
    <s v="Government"/>
    <n v="3.7"/>
    <n v="13365.3"/>
    <n v="0"/>
    <x v="1"/>
  </r>
  <r>
    <n v="486"/>
    <n v="50"/>
    <s v="Male"/>
    <n v="56"/>
    <n v="12"/>
    <s v="Yes"/>
    <s v="Private"/>
    <n v="4.3"/>
    <n v="17587.009999999998"/>
    <n v="5"/>
    <x v="1"/>
  </r>
  <r>
    <n v="487"/>
    <n v="20"/>
    <s v="Female"/>
    <n v="15"/>
    <n v="2"/>
    <s v="No"/>
    <s v="Private"/>
    <n v="4.5"/>
    <n v="45915.55"/>
    <n v="4"/>
    <x v="0"/>
  </r>
  <r>
    <n v="488"/>
    <n v="35"/>
    <s v="Female"/>
    <n v="29"/>
    <n v="15"/>
    <s v="Yes"/>
    <s v="Private"/>
    <n v="3.3"/>
    <n v="14879.97"/>
    <n v="8"/>
    <x v="1"/>
  </r>
  <r>
    <n v="489"/>
    <n v="42"/>
    <s v="Male"/>
    <n v="8"/>
    <n v="5"/>
    <s v="Yes"/>
    <s v="None"/>
    <n v="3.1"/>
    <n v="23764.42"/>
    <n v="1"/>
    <x v="1"/>
  </r>
  <r>
    <n v="490"/>
    <n v="59"/>
    <s v="Male"/>
    <n v="5"/>
    <n v="18"/>
    <s v="No"/>
    <s v="Private"/>
    <n v="2.7"/>
    <n v="44561.99"/>
    <n v="7"/>
    <x v="1"/>
  </r>
  <r>
    <n v="491"/>
    <n v="48"/>
    <s v="Female"/>
    <n v="29"/>
    <n v="6"/>
    <s v="Yes"/>
    <s v="None"/>
    <n v="2.2999999999999998"/>
    <n v="35532.21"/>
    <n v="4"/>
    <x v="1"/>
  </r>
  <r>
    <n v="492"/>
    <n v="71"/>
    <s v="Male"/>
    <n v="47"/>
    <n v="9"/>
    <s v="No"/>
    <s v="None"/>
    <n v="2.7"/>
    <n v="3579.06"/>
    <n v="1"/>
    <x v="0"/>
  </r>
  <r>
    <n v="493"/>
    <n v="75"/>
    <s v="Male"/>
    <n v="4"/>
    <n v="8"/>
    <s v="No"/>
    <s v="Private"/>
    <n v="4.0999999999999996"/>
    <n v="7791.5"/>
    <n v="9"/>
    <x v="0"/>
  </r>
  <r>
    <n v="494"/>
    <n v="20"/>
    <s v="Female"/>
    <n v="12"/>
    <n v="1"/>
    <s v="No"/>
    <s v="None"/>
    <n v="3.4"/>
    <n v="888.16"/>
    <n v="5"/>
    <x v="1"/>
  </r>
  <r>
    <n v="495"/>
    <n v="57"/>
    <s v="Female"/>
    <n v="45"/>
    <n v="14"/>
    <s v="Yes"/>
    <s v="Private"/>
    <n v="4.5999999999999996"/>
    <n v="31730.63"/>
    <n v="9"/>
    <x v="0"/>
  </r>
  <r>
    <n v="496"/>
    <n v="63"/>
    <s v="Male"/>
    <n v="2"/>
    <n v="4"/>
    <s v="No"/>
    <s v="Government"/>
    <n v="2.8"/>
    <n v="22659.83"/>
    <n v="7"/>
    <x v="1"/>
  </r>
  <r>
    <n v="497"/>
    <n v="41"/>
    <s v="Female"/>
    <n v="27"/>
    <n v="3"/>
    <s v="No"/>
    <s v="Government"/>
    <n v="3.4"/>
    <n v="7146.61"/>
    <n v="3"/>
    <x v="1"/>
  </r>
  <r>
    <n v="498"/>
    <n v="67"/>
    <s v="Male"/>
    <n v="31"/>
    <n v="19"/>
    <s v="Yes"/>
    <s v="Government"/>
    <n v="3.5"/>
    <n v="47917.74"/>
    <n v="1"/>
    <x v="1"/>
  </r>
  <r>
    <n v="499"/>
    <n v="49"/>
    <s v="Male"/>
    <n v="51"/>
    <n v="3"/>
    <s v="No"/>
    <s v="Government"/>
    <n v="3.4"/>
    <n v="26718.16"/>
    <n v="4"/>
    <x v="1"/>
  </r>
  <r>
    <n v="500"/>
    <n v="64"/>
    <s v="Male"/>
    <n v="51"/>
    <n v="17"/>
    <s v="No"/>
    <s v="None"/>
    <n v="3.8"/>
    <n v="12473.72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109FD-5AE8-49B6-A463-F0BE608A98A0}" name="Tabela dinâ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numFmtId="1" showAll="0"/>
    <pivotField showAll="0"/>
    <pivotField numFmtId="1" showAll="0"/>
    <pivotField numFmtId="1" showAll="0"/>
    <pivotField showAll="0"/>
    <pivotField showAll="0"/>
    <pivotField numFmtId="164" showAll="0"/>
    <pivotField dataField="1" numFmtId="165" showAll="0"/>
    <pivotField numFmtId="1" showAll="0"/>
    <pivotField axis="axisRow" numFmtI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oma de Valor_Total_Conta" fld="8" baseField="0" baseItem="0" numFmtId="165"/>
  </dataFields>
  <formats count="9">
    <format dxfId="10">
      <pivotArea outline="0" collapsedLevelsAreSubtotals="1" fieldPosition="0"/>
    </format>
    <format dxfId="8">
      <pivotArea collapsedLevelsAreSubtotals="1" fieldPosition="0">
        <references count="1">
          <reference field="10" count="1"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0" type="button" dataOnly="0" labelOnly="1" outline="0" axis="axisRow" fieldPosition="0"/>
    </format>
    <format dxfId="4">
      <pivotArea dataOnly="0" labelOnly="1" fieldPosition="0">
        <references count="1">
          <reference field="1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0">
      <pivotArea collapsedLevelsAreSubtotals="1" fieldPosition="0">
        <references count="1">
          <reference field="1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828EF-6041-4A8F-8EEB-11DD5AA91607}" name="Tabela dinâ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4" firstHeaderRow="1" firstDataRow="1" firstDataCol="1"/>
  <pivotFields count="11">
    <pivotField showAll="0"/>
    <pivotField numFmtId="1" showAll="0"/>
    <pivotField showAll="0"/>
    <pivotField numFmtId="1" showAll="0"/>
    <pivotField dataField="1" numFmtId="1" showAll="0"/>
    <pivotField showAll="0"/>
    <pivotField showAll="0"/>
    <pivotField numFmtId="164" showAll="0"/>
    <pivotField numFmtId="165" showAll="0"/>
    <pivotField numFmtId="1" showAll="0"/>
    <pivotField axis="axisRow" numFmtI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oma de Visitas_ano_passado" fld="4" baseField="10" baseItem="0" numFmtId="2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0" type="button" dataOnly="0" labelOnly="1" outline="0" axis="axisRow" fieldPosition="0"/>
    </format>
    <format dxfId="21">
      <pivotArea dataOnly="0" labelOnly="1" fieldPosition="0">
        <references count="1">
          <reference field="10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A00EC-7EF8-4983-A50E-2FA0C7081836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1">
    <pivotField showAll="0"/>
    <pivotField numFmtId="1" showAll="0"/>
    <pivotField showAll="0"/>
    <pivotField numFmtId="1" showAll="0"/>
    <pivotField numFmtId="1" showAll="0"/>
    <pivotField showAll="0"/>
    <pivotField showAll="0"/>
    <pivotField numFmtId="164" showAll="0"/>
    <pivotField numFmtId="165" showAll="0"/>
    <pivotField dataField="1" numFmtId="1" showAll="0"/>
    <pivotField axis="axisRow" numFmtI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oma de Compromissos_Perdidos" fld="9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0" type="button" dataOnly="0" labelOnly="1" outline="0" axis="axisRow" fieldPosition="0"/>
    </format>
    <format dxfId="27">
      <pivotArea dataOnly="0" labelOnly="1" fieldPosition="0">
        <references count="1">
          <reference field="10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F68DB-6A9A-48A0-94F6-868E68930E9E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D1:G6" firstHeaderRow="1" firstDataRow="2" firstDataCol="1"/>
  <pivotFields count="2">
    <pivotField axis="axisCol" dataField="1" showAll="0">
      <items count="4">
        <item x="1"/>
        <item x="0"/>
        <item x="2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Média de Evasão" fld="0" subtotal="average" baseField="1" baseItem="0" numFmtId="10"/>
  </dataFields>
  <formats count="20"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0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1" type="button" dataOnly="0" labelOnly="1" outline="0" axis="axisRow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grandRow="1" outline="0" fieldPosition="0"/>
    </format>
    <format dxfId="68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67">
      <pivotArea dataOnly="0" labelOnly="1" grandCol="1" outline="0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0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57">
      <pivotArea dataOnly="0" labelOnly="1" grandCol="1" outline="0" fieldPosition="0"/>
    </format>
  </formats>
  <chartFormats count="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C4752-6C4C-46ED-AD63-AF2BA34F8F98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D5" firstHeaderRow="1" firstDataRow="2" firstDataCol="1"/>
  <pivotFields count="11"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oma de Evasão" fld="10" baseField="0" baseItem="0"/>
  </dataFields>
  <formats count="16"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10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5" type="button" dataOnly="0" labelOnly="1" outline="0" axis="axisRow" fieldPosition="0"/>
    </format>
    <format dxfId="50">
      <pivotArea dataOnly="0" labelOnly="1" fieldPosition="0">
        <references count="1">
          <reference field="5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10" count="2">
            <x v="0"/>
            <x v="1"/>
          </reference>
        </references>
      </pivotArea>
    </format>
    <format dxfId="47">
      <pivotArea dataOnly="0" labelOnly="1" grandCol="1" outline="0" fieldPosition="0"/>
    </format>
    <format dxfId="46">
      <pivotArea type="origin" dataOnly="0" labelOnly="1" outline="0" fieldPosition="0"/>
    </format>
    <format dxfId="45">
      <pivotArea field="10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5" type="button" dataOnly="0" labelOnly="1" outline="0" axis="axisRow" fieldPosition="0"/>
    </format>
    <format dxfId="42">
      <pivotArea dataOnly="0" labelOnly="1" fieldPosition="0">
        <references count="1">
          <reference field="10" count="2">
            <x v="0"/>
            <x v="1"/>
          </reference>
        </references>
      </pivotArea>
    </format>
    <format dxfId="4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9B956-0312-4665-AA34-ACBF71C9D038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1:E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Pontuação_Satisfação" fld="7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CA0C7-4AD6-4A4F-B970-A519AFB3DC3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1:E4" firstHeaderRow="1" firstDataRow="1" firstDataCol="1"/>
  <pivotFields count="2">
    <pivotField axis="axisRow" numFmtId="1" showAll="0">
      <items count="3">
        <item x="1"/>
        <item x="0"/>
        <item t="default"/>
      </items>
    </pivotField>
    <pivotField dataField="1" numFmtI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édia de Permanência_Meses" fld="1" subtotal="average" baseField="0" baseItem="0" numFmtId="2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612A1-41F3-4083-8D7F-A6A32E597E54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E1:G7" firstHeaderRow="1" firstDataRow="2" firstDataCol="1"/>
  <pivotFields count="3">
    <pivotField dataField="1" showAll="0"/>
    <pivotField axis="axisCol" numFmtId="1" showAll="0">
      <items count="3">
        <item h="1" x="1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 v="1"/>
    </i>
    <i t="grand">
      <x/>
    </i>
  </colItems>
  <dataFields count="1">
    <dataField name="Soma de ID" fld="0" showDataAs="percentOfTotal" baseField="0" baseItem="0" numFmtId="9"/>
  </dataFields>
  <formats count="10">
    <format dxfId="40">
      <pivotArea type="all" dataOnly="0" outline="0" fieldPosition="0"/>
    </format>
    <format dxfId="39">
      <pivotArea outline="0" fieldPosition="0">
        <references count="1">
          <reference field="4294967294" count="1">
            <x v="0"/>
          </reference>
        </references>
      </pivotArea>
    </format>
    <format dxfId="38">
      <pivotArea outline="0" collapsedLevelsAreSubtotals="1" fieldPosition="0"/>
    </format>
    <format dxfId="37">
      <pivotArea dataOnly="0" labelOnly="1" grandCol="1" outline="0" fieldPosition="0"/>
    </format>
    <format dxfId="36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35">
      <pivotArea field="1" type="button" dataOnly="0" labelOnly="1" outline="0" axis="axisCol" fieldPosition="0"/>
    </format>
    <format dxfId="34">
      <pivotArea dataOnly="0" labelOnly="1" fieldPosition="0">
        <references count="1">
          <reference field="1" count="1">
            <x v="0"/>
          </reference>
        </references>
      </pivotArea>
    </format>
    <format dxfId="33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2">
      <pivotArea type="topRight" dataOnly="0" labelOnly="1" outline="0" fieldPosition="0"/>
    </format>
    <format dxfId="31">
      <pivotArea dataOnly="0" labelOnly="1" fieldPosition="0">
        <references count="1">
          <reference field="1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zoomScaleNormal="100" workbookViewId="0"/>
  </sheetViews>
  <sheetFormatPr defaultColWidth="11.5703125" defaultRowHeight="12.75" x14ac:dyDescent="0.2"/>
  <cols>
    <col min="1" max="1" width="9.42578125" style="2" customWidth="1"/>
    <col min="2" max="2" width="11.7109375" style="6" customWidth="1"/>
    <col min="3" max="3" width="18.7109375" style="8" customWidth="1"/>
    <col min="4" max="4" width="22.5703125" style="6" customWidth="1"/>
    <col min="5" max="5" width="21.5703125" style="6" customWidth="1"/>
    <col min="6" max="6" width="17.7109375" style="8" customWidth="1"/>
    <col min="7" max="7" width="19" style="8" customWidth="1"/>
    <col min="8" max="8" width="23.7109375" style="4" customWidth="1"/>
    <col min="9" max="9" width="21.7109375" style="10" customWidth="1"/>
    <col min="10" max="10" width="25.28515625" style="6" customWidth="1"/>
    <col min="11" max="11" width="10.42578125" style="6" customWidth="1"/>
  </cols>
  <sheetData>
    <row r="1" spans="1:11" x14ac:dyDescent="0.2">
      <c r="A1" s="1" t="s">
        <v>9</v>
      </c>
      <c r="B1" s="5" t="s">
        <v>8</v>
      </c>
      <c r="C1" s="7" t="s">
        <v>7</v>
      </c>
      <c r="D1" s="5" t="s">
        <v>10</v>
      </c>
      <c r="E1" s="5" t="s">
        <v>11</v>
      </c>
      <c r="F1" s="7" t="s">
        <v>12</v>
      </c>
      <c r="G1" s="7" t="s">
        <v>13</v>
      </c>
      <c r="H1" s="3" t="s">
        <v>14</v>
      </c>
      <c r="I1" s="9" t="s">
        <v>15</v>
      </c>
      <c r="J1" s="5" t="s">
        <v>16</v>
      </c>
      <c r="K1" s="11" t="s">
        <v>17</v>
      </c>
    </row>
    <row r="2" spans="1:11" x14ac:dyDescent="0.2">
      <c r="A2" s="2">
        <v>1</v>
      </c>
      <c r="B2" s="6">
        <v>56</v>
      </c>
      <c r="C2" s="8" t="s">
        <v>0</v>
      </c>
      <c r="D2" s="6">
        <v>2</v>
      </c>
      <c r="E2" s="6">
        <v>3</v>
      </c>
      <c r="F2" s="8" t="s">
        <v>1</v>
      </c>
      <c r="G2" s="8" t="s">
        <v>2</v>
      </c>
      <c r="H2" s="4">
        <v>2.5</v>
      </c>
      <c r="I2" s="10">
        <v>12252.96</v>
      </c>
      <c r="J2" s="6">
        <v>9</v>
      </c>
      <c r="K2" s="6">
        <v>1</v>
      </c>
    </row>
    <row r="3" spans="1:11" x14ac:dyDescent="0.2">
      <c r="A3" s="2">
        <v>2</v>
      </c>
      <c r="B3" s="6">
        <v>69</v>
      </c>
      <c r="C3" s="8" t="s">
        <v>3</v>
      </c>
      <c r="D3" s="6">
        <v>10</v>
      </c>
      <c r="E3" s="6">
        <v>3</v>
      </c>
      <c r="F3" s="8" t="s">
        <v>4</v>
      </c>
      <c r="G3" s="8" t="s">
        <v>2</v>
      </c>
      <c r="H3" s="4">
        <v>2.6</v>
      </c>
      <c r="I3" s="10">
        <v>25862.01</v>
      </c>
      <c r="J3" s="6">
        <v>4</v>
      </c>
      <c r="K3" s="6">
        <v>0</v>
      </c>
    </row>
    <row r="4" spans="1:11" x14ac:dyDescent="0.2">
      <c r="A4" s="2">
        <v>3</v>
      </c>
      <c r="B4" s="6">
        <v>46</v>
      </c>
      <c r="C4" s="8" t="s">
        <v>0</v>
      </c>
      <c r="D4" s="6">
        <v>56</v>
      </c>
      <c r="E4" s="6">
        <v>10</v>
      </c>
      <c r="F4" s="8" t="s">
        <v>1</v>
      </c>
      <c r="G4" s="8" t="s">
        <v>5</v>
      </c>
      <c r="H4" s="4">
        <v>2.8</v>
      </c>
      <c r="I4" s="10">
        <v>5659.13</v>
      </c>
      <c r="J4" s="6">
        <v>4</v>
      </c>
      <c r="K4" s="6">
        <v>0</v>
      </c>
    </row>
    <row r="5" spans="1:11" x14ac:dyDescent="0.2">
      <c r="A5" s="2">
        <v>4</v>
      </c>
      <c r="B5" s="6">
        <v>32</v>
      </c>
      <c r="C5" s="8" t="s">
        <v>3</v>
      </c>
      <c r="D5" s="6">
        <v>30</v>
      </c>
      <c r="E5" s="6">
        <v>4</v>
      </c>
      <c r="F5" s="8" t="s">
        <v>4</v>
      </c>
      <c r="G5" s="8" t="s">
        <v>2</v>
      </c>
      <c r="H5" s="4">
        <v>4.0999999999999996</v>
      </c>
      <c r="I5" s="10">
        <v>19533.310000000001</v>
      </c>
      <c r="J5" s="6">
        <v>5</v>
      </c>
      <c r="K5" s="6">
        <v>0</v>
      </c>
    </row>
    <row r="6" spans="1:11" x14ac:dyDescent="0.2">
      <c r="A6" s="2">
        <v>5</v>
      </c>
      <c r="B6" s="6">
        <v>60</v>
      </c>
      <c r="C6" s="8" t="s">
        <v>3</v>
      </c>
      <c r="D6" s="6">
        <v>50</v>
      </c>
      <c r="E6" s="6">
        <v>19</v>
      </c>
      <c r="F6" s="8" t="s">
        <v>1</v>
      </c>
      <c r="G6" s="8" t="s">
        <v>6</v>
      </c>
      <c r="H6" s="4">
        <v>4.5999999999999996</v>
      </c>
      <c r="I6" s="10">
        <v>24639.52</v>
      </c>
      <c r="J6" s="6">
        <v>5</v>
      </c>
      <c r="K6" s="6">
        <v>0</v>
      </c>
    </row>
    <row r="7" spans="1:11" x14ac:dyDescent="0.2">
      <c r="A7" s="2">
        <v>6</v>
      </c>
      <c r="B7" s="6">
        <v>25</v>
      </c>
      <c r="C7" s="8" t="s">
        <v>0</v>
      </c>
      <c r="D7" s="6">
        <v>59</v>
      </c>
      <c r="E7" s="6">
        <v>10</v>
      </c>
      <c r="F7" s="8" t="s">
        <v>1</v>
      </c>
      <c r="G7" s="8" t="s">
        <v>6</v>
      </c>
      <c r="H7" s="4">
        <v>4.8</v>
      </c>
      <c r="I7" s="10">
        <v>32785.1</v>
      </c>
      <c r="J7" s="6">
        <v>5</v>
      </c>
      <c r="K7" s="6">
        <v>0</v>
      </c>
    </row>
    <row r="8" spans="1:11" x14ac:dyDescent="0.2">
      <c r="A8" s="2">
        <v>7</v>
      </c>
      <c r="B8" s="6">
        <v>78</v>
      </c>
      <c r="C8" s="8" t="s">
        <v>0</v>
      </c>
      <c r="D8" s="6">
        <v>45</v>
      </c>
      <c r="E8" s="6">
        <v>9</v>
      </c>
      <c r="F8" s="8" t="s">
        <v>4</v>
      </c>
      <c r="G8" s="8" t="s">
        <v>5</v>
      </c>
      <c r="H8" s="4">
        <v>4.0999999999999996</v>
      </c>
      <c r="I8" s="10">
        <v>47551.29</v>
      </c>
      <c r="J8" s="6">
        <v>1</v>
      </c>
      <c r="K8" s="6">
        <v>0</v>
      </c>
    </row>
    <row r="9" spans="1:11" x14ac:dyDescent="0.2">
      <c r="A9" s="2">
        <v>8</v>
      </c>
      <c r="B9" s="6">
        <v>38</v>
      </c>
      <c r="C9" s="8" t="s">
        <v>0</v>
      </c>
      <c r="D9" s="6">
        <v>5</v>
      </c>
      <c r="E9" s="6">
        <v>7</v>
      </c>
      <c r="F9" s="8" t="s">
        <v>1</v>
      </c>
      <c r="G9" s="8" t="s">
        <v>6</v>
      </c>
      <c r="H9" s="4">
        <v>2.2999999999999998</v>
      </c>
      <c r="I9" s="10">
        <v>30232.23</v>
      </c>
      <c r="J9" s="6">
        <v>9</v>
      </c>
      <c r="K9" s="6">
        <v>0</v>
      </c>
    </row>
    <row r="10" spans="1:11" x14ac:dyDescent="0.2">
      <c r="A10" s="2">
        <v>9</v>
      </c>
      <c r="B10" s="6">
        <v>56</v>
      </c>
      <c r="C10" s="8" t="s">
        <v>3</v>
      </c>
      <c r="D10" s="6">
        <v>55</v>
      </c>
      <c r="E10" s="6">
        <v>5</v>
      </c>
      <c r="F10" s="8" t="s">
        <v>1</v>
      </c>
      <c r="G10" s="8" t="s">
        <v>2</v>
      </c>
      <c r="H10" s="4">
        <v>3.8</v>
      </c>
      <c r="I10" s="10">
        <v>37307.9</v>
      </c>
      <c r="J10" s="6">
        <v>2</v>
      </c>
      <c r="K10" s="6">
        <v>1</v>
      </c>
    </row>
    <row r="11" spans="1:11" x14ac:dyDescent="0.2">
      <c r="A11" s="2">
        <v>10</v>
      </c>
      <c r="B11" s="6">
        <v>75</v>
      </c>
      <c r="C11" s="8" t="s">
        <v>0</v>
      </c>
      <c r="D11" s="6">
        <v>56</v>
      </c>
      <c r="E11" s="6">
        <v>5</v>
      </c>
      <c r="F11" s="8" t="s">
        <v>4</v>
      </c>
      <c r="G11" s="8" t="s">
        <v>6</v>
      </c>
      <c r="H11" s="4">
        <v>2.8</v>
      </c>
      <c r="I11" s="10">
        <v>25560.17</v>
      </c>
      <c r="J11" s="6">
        <v>5</v>
      </c>
      <c r="K11" s="6">
        <v>0</v>
      </c>
    </row>
    <row r="12" spans="1:11" x14ac:dyDescent="0.2">
      <c r="A12" s="2">
        <v>11</v>
      </c>
      <c r="B12" s="6">
        <v>36</v>
      </c>
      <c r="C12" s="8" t="s">
        <v>3</v>
      </c>
      <c r="D12" s="6">
        <v>33</v>
      </c>
      <c r="E12" s="6">
        <v>7</v>
      </c>
      <c r="F12" s="8" t="s">
        <v>1</v>
      </c>
      <c r="G12" s="8" t="s">
        <v>5</v>
      </c>
      <c r="H12" s="4">
        <v>2</v>
      </c>
      <c r="I12" s="10">
        <v>31888.15</v>
      </c>
      <c r="J12" s="6">
        <v>7</v>
      </c>
      <c r="K12" s="6">
        <v>1</v>
      </c>
    </row>
    <row r="13" spans="1:11" x14ac:dyDescent="0.2">
      <c r="A13" s="2">
        <v>12</v>
      </c>
      <c r="B13" s="6">
        <v>40</v>
      </c>
      <c r="C13" s="8" t="s">
        <v>3</v>
      </c>
      <c r="D13" s="6">
        <v>54</v>
      </c>
      <c r="E13" s="6">
        <v>14</v>
      </c>
      <c r="F13" s="8" t="s">
        <v>1</v>
      </c>
      <c r="G13" s="8" t="s">
        <v>2</v>
      </c>
      <c r="H13" s="4">
        <v>4.4000000000000004</v>
      </c>
      <c r="I13" s="10">
        <v>4011.14</v>
      </c>
      <c r="J13" s="6">
        <v>0</v>
      </c>
      <c r="K13" s="6">
        <v>0</v>
      </c>
    </row>
    <row r="14" spans="1:11" x14ac:dyDescent="0.2">
      <c r="A14" s="2">
        <v>13</v>
      </c>
      <c r="B14" s="6">
        <v>28</v>
      </c>
      <c r="C14" s="8" t="s">
        <v>3</v>
      </c>
      <c r="D14" s="6">
        <v>1</v>
      </c>
      <c r="E14" s="6">
        <v>13</v>
      </c>
      <c r="F14" s="8" t="s">
        <v>1</v>
      </c>
      <c r="G14" s="8" t="s">
        <v>5</v>
      </c>
      <c r="H14" s="4">
        <v>1.2</v>
      </c>
      <c r="I14" s="10">
        <v>13092.38</v>
      </c>
      <c r="J14" s="6">
        <v>0</v>
      </c>
      <c r="K14" s="6">
        <v>0</v>
      </c>
    </row>
    <row r="15" spans="1:11" x14ac:dyDescent="0.2">
      <c r="A15" s="2">
        <v>14</v>
      </c>
      <c r="B15" s="6">
        <v>28</v>
      </c>
      <c r="C15" s="8" t="s">
        <v>0</v>
      </c>
      <c r="D15" s="6">
        <v>18</v>
      </c>
      <c r="E15" s="6">
        <v>10</v>
      </c>
      <c r="F15" s="8" t="s">
        <v>4</v>
      </c>
      <c r="G15" s="8" t="s">
        <v>2</v>
      </c>
      <c r="H15" s="4">
        <v>4.5999999999999996</v>
      </c>
      <c r="I15" s="10">
        <v>18411.73</v>
      </c>
      <c r="J15" s="6">
        <v>1</v>
      </c>
      <c r="K15" s="6">
        <v>0</v>
      </c>
    </row>
    <row r="16" spans="1:11" x14ac:dyDescent="0.2">
      <c r="A16" s="2">
        <v>15</v>
      </c>
      <c r="B16" s="6">
        <v>41</v>
      </c>
      <c r="C16" s="8" t="s">
        <v>0</v>
      </c>
      <c r="D16" s="6">
        <v>32</v>
      </c>
      <c r="E16" s="6">
        <v>11</v>
      </c>
      <c r="F16" s="8" t="s">
        <v>1</v>
      </c>
      <c r="G16" s="8" t="s">
        <v>6</v>
      </c>
      <c r="H16" s="4">
        <v>2.8</v>
      </c>
      <c r="I16" s="10">
        <v>23888.42</v>
      </c>
      <c r="J16" s="6">
        <v>5</v>
      </c>
      <c r="K16" s="6">
        <v>0</v>
      </c>
    </row>
    <row r="17" spans="1:11" x14ac:dyDescent="0.2">
      <c r="A17" s="2">
        <v>16</v>
      </c>
      <c r="B17" s="6">
        <v>70</v>
      </c>
      <c r="C17" s="8" t="s">
        <v>3</v>
      </c>
      <c r="D17" s="6">
        <v>47</v>
      </c>
      <c r="E17" s="6">
        <v>12</v>
      </c>
      <c r="F17" s="8" t="s">
        <v>1</v>
      </c>
      <c r="G17" s="8" t="s">
        <v>5</v>
      </c>
      <c r="H17" s="4">
        <v>3.5</v>
      </c>
      <c r="I17" s="10">
        <v>2759.61</v>
      </c>
      <c r="J17" s="6">
        <v>8</v>
      </c>
      <c r="K17" s="6">
        <v>0</v>
      </c>
    </row>
    <row r="18" spans="1:11" x14ac:dyDescent="0.2">
      <c r="A18" s="2">
        <v>17</v>
      </c>
      <c r="B18" s="6">
        <v>53</v>
      </c>
      <c r="C18" s="8" t="s">
        <v>3</v>
      </c>
      <c r="D18" s="6">
        <v>49</v>
      </c>
      <c r="E18" s="6">
        <v>7</v>
      </c>
      <c r="F18" s="8" t="s">
        <v>1</v>
      </c>
      <c r="G18" s="8" t="s">
        <v>5</v>
      </c>
      <c r="H18" s="4">
        <v>3.6</v>
      </c>
      <c r="I18" s="10">
        <v>7431.19</v>
      </c>
      <c r="J18" s="6">
        <v>3</v>
      </c>
      <c r="K18" s="6">
        <v>0</v>
      </c>
    </row>
    <row r="19" spans="1:11" x14ac:dyDescent="0.2">
      <c r="A19" s="2">
        <v>18</v>
      </c>
      <c r="B19" s="6">
        <v>57</v>
      </c>
      <c r="C19" s="8" t="s">
        <v>0</v>
      </c>
      <c r="D19" s="6">
        <v>11</v>
      </c>
      <c r="E19" s="6">
        <v>17</v>
      </c>
      <c r="F19" s="8" t="s">
        <v>1</v>
      </c>
      <c r="G19" s="8" t="s">
        <v>2</v>
      </c>
      <c r="H19" s="4">
        <v>4.5999999999999996</v>
      </c>
      <c r="I19" s="10">
        <v>14202.31</v>
      </c>
      <c r="J19" s="6">
        <v>2</v>
      </c>
      <c r="K19" s="6">
        <v>0</v>
      </c>
    </row>
    <row r="20" spans="1:11" x14ac:dyDescent="0.2">
      <c r="A20" s="2">
        <v>19</v>
      </c>
      <c r="B20" s="6">
        <v>41</v>
      </c>
      <c r="C20" s="8" t="s">
        <v>3</v>
      </c>
      <c r="D20" s="6">
        <v>21</v>
      </c>
      <c r="E20" s="6">
        <v>0</v>
      </c>
      <c r="F20" s="8" t="s">
        <v>4</v>
      </c>
      <c r="G20" s="8" t="s">
        <v>5</v>
      </c>
      <c r="H20" s="4">
        <v>3.5</v>
      </c>
      <c r="I20" s="10">
        <v>48590.87</v>
      </c>
      <c r="J20" s="6">
        <v>7</v>
      </c>
      <c r="K20" s="6">
        <v>0</v>
      </c>
    </row>
    <row r="21" spans="1:11" x14ac:dyDescent="0.2">
      <c r="A21" s="2">
        <v>20</v>
      </c>
      <c r="B21" s="6">
        <v>20</v>
      </c>
      <c r="C21" s="8" t="s">
        <v>0</v>
      </c>
      <c r="D21" s="6">
        <v>26</v>
      </c>
      <c r="E21" s="6">
        <v>14</v>
      </c>
      <c r="F21" s="8" t="s">
        <v>4</v>
      </c>
      <c r="G21" s="8" t="s">
        <v>2</v>
      </c>
      <c r="H21" s="4">
        <v>3.5</v>
      </c>
      <c r="I21" s="10">
        <v>16901.68</v>
      </c>
      <c r="J21" s="6">
        <v>9</v>
      </c>
      <c r="K21" s="6">
        <v>1</v>
      </c>
    </row>
    <row r="22" spans="1:11" x14ac:dyDescent="0.2">
      <c r="A22" s="2">
        <v>21</v>
      </c>
      <c r="B22" s="6">
        <v>39</v>
      </c>
      <c r="C22" s="8" t="s">
        <v>3</v>
      </c>
      <c r="D22" s="6">
        <v>25</v>
      </c>
      <c r="E22" s="6">
        <v>7</v>
      </c>
      <c r="F22" s="8" t="s">
        <v>1</v>
      </c>
      <c r="G22" s="8" t="s">
        <v>2</v>
      </c>
      <c r="H22" s="4">
        <v>1.3</v>
      </c>
      <c r="I22" s="10">
        <v>24361.03</v>
      </c>
      <c r="J22" s="6">
        <v>8</v>
      </c>
      <c r="K22" s="6">
        <v>1</v>
      </c>
    </row>
    <row r="23" spans="1:11" x14ac:dyDescent="0.2">
      <c r="A23" s="2">
        <v>22</v>
      </c>
      <c r="B23" s="6">
        <v>70</v>
      </c>
      <c r="C23" s="8" t="s">
        <v>0</v>
      </c>
      <c r="D23" s="6">
        <v>22</v>
      </c>
      <c r="E23" s="6">
        <v>10</v>
      </c>
      <c r="F23" s="8" t="s">
        <v>1</v>
      </c>
      <c r="G23" s="8" t="s">
        <v>2</v>
      </c>
      <c r="H23" s="4">
        <v>3.1</v>
      </c>
      <c r="I23" s="10">
        <v>10206.84</v>
      </c>
      <c r="J23" s="6">
        <v>4</v>
      </c>
      <c r="K23" s="6">
        <v>0</v>
      </c>
    </row>
    <row r="24" spans="1:11" x14ac:dyDescent="0.2">
      <c r="A24" s="2">
        <v>23</v>
      </c>
      <c r="B24" s="6">
        <v>19</v>
      </c>
      <c r="C24" s="8" t="s">
        <v>3</v>
      </c>
      <c r="D24" s="6">
        <v>59</v>
      </c>
      <c r="E24" s="6">
        <v>11</v>
      </c>
      <c r="F24" s="8" t="s">
        <v>4</v>
      </c>
      <c r="G24" s="8" t="s">
        <v>2</v>
      </c>
      <c r="H24" s="4">
        <v>1.6</v>
      </c>
      <c r="I24" s="10">
        <v>30733.61</v>
      </c>
      <c r="J24" s="6">
        <v>8</v>
      </c>
      <c r="K24" s="6">
        <v>0</v>
      </c>
    </row>
    <row r="25" spans="1:11" x14ac:dyDescent="0.2">
      <c r="A25" s="2">
        <v>24</v>
      </c>
      <c r="B25" s="6">
        <v>41</v>
      </c>
      <c r="C25" s="8" t="s">
        <v>0</v>
      </c>
      <c r="D25" s="6">
        <v>27</v>
      </c>
      <c r="E25" s="6">
        <v>11</v>
      </c>
      <c r="F25" s="8" t="s">
        <v>4</v>
      </c>
      <c r="G25" s="8" t="s">
        <v>6</v>
      </c>
      <c r="H25" s="4">
        <v>3.9</v>
      </c>
      <c r="I25" s="10">
        <v>14393.82</v>
      </c>
      <c r="J25" s="6">
        <v>1</v>
      </c>
      <c r="K25" s="6">
        <v>0</v>
      </c>
    </row>
    <row r="26" spans="1:11" x14ac:dyDescent="0.2">
      <c r="A26" s="2">
        <v>25</v>
      </c>
      <c r="B26" s="6">
        <v>61</v>
      </c>
      <c r="C26" s="8" t="s">
        <v>3</v>
      </c>
      <c r="D26" s="6">
        <v>49</v>
      </c>
      <c r="E26" s="6">
        <v>3</v>
      </c>
      <c r="F26" s="8" t="s">
        <v>1</v>
      </c>
      <c r="G26" s="8" t="s">
        <v>2</v>
      </c>
      <c r="H26" s="4">
        <v>3</v>
      </c>
      <c r="I26" s="10">
        <v>10746.13</v>
      </c>
      <c r="J26" s="6">
        <v>2</v>
      </c>
      <c r="K26" s="6">
        <v>0</v>
      </c>
    </row>
    <row r="27" spans="1:11" x14ac:dyDescent="0.2">
      <c r="A27" s="2">
        <v>26</v>
      </c>
      <c r="B27" s="6">
        <v>47</v>
      </c>
      <c r="C27" s="8" t="s">
        <v>0</v>
      </c>
      <c r="D27" s="6">
        <v>13</v>
      </c>
      <c r="E27" s="6">
        <v>15</v>
      </c>
      <c r="F27" s="8" t="s">
        <v>4</v>
      </c>
      <c r="G27" s="8" t="s">
        <v>5</v>
      </c>
      <c r="H27" s="4">
        <v>3.7</v>
      </c>
      <c r="I27" s="10">
        <v>26070.35</v>
      </c>
      <c r="J27" s="6">
        <v>6</v>
      </c>
      <c r="K27" s="6">
        <v>0</v>
      </c>
    </row>
    <row r="28" spans="1:11" x14ac:dyDescent="0.2">
      <c r="A28" s="2">
        <v>27</v>
      </c>
      <c r="B28" s="6">
        <v>55</v>
      </c>
      <c r="C28" s="8" t="s">
        <v>0</v>
      </c>
      <c r="D28" s="6">
        <v>33</v>
      </c>
      <c r="E28" s="6">
        <v>3</v>
      </c>
      <c r="F28" s="8" t="s">
        <v>1</v>
      </c>
      <c r="G28" s="8" t="s">
        <v>6</v>
      </c>
      <c r="H28" s="4">
        <v>1.2</v>
      </c>
      <c r="I28" s="10">
        <v>772.54</v>
      </c>
      <c r="J28" s="6">
        <v>6</v>
      </c>
      <c r="K28" s="6">
        <v>0</v>
      </c>
    </row>
    <row r="29" spans="1:11" x14ac:dyDescent="0.2">
      <c r="A29" s="2">
        <v>28</v>
      </c>
      <c r="B29" s="6">
        <v>19</v>
      </c>
      <c r="C29" s="8" t="s">
        <v>3</v>
      </c>
      <c r="D29" s="6">
        <v>34</v>
      </c>
      <c r="E29" s="6">
        <v>4</v>
      </c>
      <c r="F29" s="8" t="s">
        <v>4</v>
      </c>
      <c r="G29" s="8" t="s">
        <v>5</v>
      </c>
      <c r="H29" s="4">
        <v>1.3</v>
      </c>
      <c r="I29" s="10">
        <v>879.37</v>
      </c>
      <c r="J29" s="6">
        <v>5</v>
      </c>
      <c r="K29" s="6">
        <v>0</v>
      </c>
    </row>
    <row r="30" spans="1:11" x14ac:dyDescent="0.2">
      <c r="A30" s="2">
        <v>29</v>
      </c>
      <c r="B30" s="6">
        <v>77</v>
      </c>
      <c r="C30" s="8" t="s">
        <v>3</v>
      </c>
      <c r="D30" s="6">
        <v>41</v>
      </c>
      <c r="E30" s="6">
        <v>4</v>
      </c>
      <c r="F30" s="8" t="s">
        <v>4</v>
      </c>
      <c r="G30" s="8" t="s">
        <v>6</v>
      </c>
      <c r="H30" s="4">
        <v>3.9</v>
      </c>
      <c r="I30" s="10">
        <v>11343.91</v>
      </c>
      <c r="J30" s="6">
        <v>5</v>
      </c>
      <c r="K30" s="6">
        <v>0</v>
      </c>
    </row>
    <row r="31" spans="1:11" x14ac:dyDescent="0.2">
      <c r="A31" s="2">
        <v>30</v>
      </c>
      <c r="B31" s="6">
        <v>38</v>
      </c>
      <c r="C31" s="8" t="s">
        <v>0</v>
      </c>
      <c r="D31" s="6">
        <v>35</v>
      </c>
      <c r="E31" s="6">
        <v>7</v>
      </c>
      <c r="F31" s="8" t="s">
        <v>4</v>
      </c>
      <c r="G31" s="8" t="s">
        <v>2</v>
      </c>
      <c r="H31" s="4">
        <v>1.3</v>
      </c>
      <c r="I31" s="10">
        <v>2317.71</v>
      </c>
      <c r="J31" s="6">
        <v>1</v>
      </c>
      <c r="K31" s="6">
        <v>0</v>
      </c>
    </row>
    <row r="32" spans="1:11" x14ac:dyDescent="0.2">
      <c r="A32" s="2">
        <v>31</v>
      </c>
      <c r="B32" s="6">
        <v>50</v>
      </c>
      <c r="C32" s="8" t="s">
        <v>3</v>
      </c>
      <c r="D32" s="6">
        <v>1</v>
      </c>
      <c r="E32" s="6">
        <v>9</v>
      </c>
      <c r="F32" s="8" t="s">
        <v>4</v>
      </c>
      <c r="G32" s="8" t="s">
        <v>6</v>
      </c>
      <c r="H32" s="4">
        <v>1.3</v>
      </c>
      <c r="I32" s="10">
        <v>5847.27</v>
      </c>
      <c r="J32" s="6">
        <v>9</v>
      </c>
      <c r="K32" s="6">
        <v>1</v>
      </c>
    </row>
    <row r="33" spans="1:11" x14ac:dyDescent="0.2">
      <c r="A33" s="2">
        <v>32</v>
      </c>
      <c r="B33" s="6">
        <v>29</v>
      </c>
      <c r="C33" s="8" t="s">
        <v>0</v>
      </c>
      <c r="D33" s="6">
        <v>21</v>
      </c>
      <c r="E33" s="6">
        <v>16</v>
      </c>
      <c r="F33" s="8" t="s">
        <v>1</v>
      </c>
      <c r="G33" s="8" t="s">
        <v>6</v>
      </c>
      <c r="H33" s="4">
        <v>1</v>
      </c>
      <c r="I33" s="10">
        <v>17273.599999999999</v>
      </c>
      <c r="J33" s="6">
        <v>5</v>
      </c>
      <c r="K33" s="6">
        <v>1</v>
      </c>
    </row>
    <row r="34" spans="1:11" x14ac:dyDescent="0.2">
      <c r="A34" s="2">
        <v>33</v>
      </c>
      <c r="B34" s="6">
        <v>75</v>
      </c>
      <c r="C34" s="8" t="s">
        <v>3</v>
      </c>
      <c r="D34" s="6">
        <v>48</v>
      </c>
      <c r="E34" s="6">
        <v>8</v>
      </c>
      <c r="F34" s="8" t="s">
        <v>4</v>
      </c>
      <c r="G34" s="8" t="s">
        <v>5</v>
      </c>
      <c r="H34" s="4">
        <v>4.8</v>
      </c>
      <c r="I34" s="10">
        <v>40227.99</v>
      </c>
      <c r="J34" s="6">
        <v>3</v>
      </c>
      <c r="K34" s="6">
        <v>0</v>
      </c>
    </row>
    <row r="35" spans="1:11" x14ac:dyDescent="0.2">
      <c r="A35" s="2">
        <v>34</v>
      </c>
      <c r="B35" s="6">
        <v>39</v>
      </c>
      <c r="C35" s="8" t="s">
        <v>0</v>
      </c>
      <c r="D35" s="6">
        <v>55</v>
      </c>
      <c r="E35" s="6">
        <v>18</v>
      </c>
      <c r="F35" s="8" t="s">
        <v>4</v>
      </c>
      <c r="G35" s="8" t="s">
        <v>5</v>
      </c>
      <c r="H35" s="4">
        <v>4</v>
      </c>
      <c r="I35" s="10">
        <v>28816.41</v>
      </c>
      <c r="J35" s="6">
        <v>2</v>
      </c>
      <c r="K35" s="6">
        <v>1</v>
      </c>
    </row>
    <row r="36" spans="1:11" x14ac:dyDescent="0.2">
      <c r="A36" s="2">
        <v>35</v>
      </c>
      <c r="B36" s="6">
        <v>78</v>
      </c>
      <c r="C36" s="8" t="s">
        <v>0</v>
      </c>
      <c r="D36" s="6">
        <v>6</v>
      </c>
      <c r="E36" s="6">
        <v>13</v>
      </c>
      <c r="F36" s="8" t="s">
        <v>1</v>
      </c>
      <c r="G36" s="8" t="s">
        <v>2</v>
      </c>
      <c r="H36" s="4">
        <v>2.4</v>
      </c>
      <c r="I36" s="10">
        <v>25877.05</v>
      </c>
      <c r="J36" s="6">
        <v>1</v>
      </c>
      <c r="K36" s="6">
        <v>1</v>
      </c>
    </row>
    <row r="37" spans="1:11" x14ac:dyDescent="0.2">
      <c r="A37" s="2">
        <v>36</v>
      </c>
      <c r="B37" s="6">
        <v>61</v>
      </c>
      <c r="C37" s="8" t="s">
        <v>0</v>
      </c>
      <c r="D37" s="6">
        <v>28</v>
      </c>
      <c r="E37" s="6">
        <v>7</v>
      </c>
      <c r="F37" s="8" t="s">
        <v>4</v>
      </c>
      <c r="G37" s="8" t="s">
        <v>6</v>
      </c>
      <c r="H37" s="4">
        <v>2.2000000000000002</v>
      </c>
      <c r="I37" s="10">
        <v>15027.7</v>
      </c>
      <c r="J37" s="6">
        <v>0</v>
      </c>
      <c r="K37" s="6">
        <v>0</v>
      </c>
    </row>
    <row r="38" spans="1:11" x14ac:dyDescent="0.2">
      <c r="A38" s="2">
        <v>37</v>
      </c>
      <c r="B38" s="6">
        <v>42</v>
      </c>
      <c r="C38" s="8" t="s">
        <v>0</v>
      </c>
      <c r="D38" s="6">
        <v>17</v>
      </c>
      <c r="E38" s="6">
        <v>8</v>
      </c>
      <c r="F38" s="8" t="s">
        <v>4</v>
      </c>
      <c r="G38" s="8" t="s">
        <v>6</v>
      </c>
      <c r="H38" s="4">
        <v>2.4</v>
      </c>
      <c r="I38" s="10">
        <v>46621.81</v>
      </c>
      <c r="J38" s="6">
        <v>4</v>
      </c>
      <c r="K38" s="6">
        <v>0</v>
      </c>
    </row>
    <row r="39" spans="1:11" x14ac:dyDescent="0.2">
      <c r="A39" s="2">
        <v>38</v>
      </c>
      <c r="B39" s="6">
        <v>66</v>
      </c>
      <c r="C39" s="8" t="s">
        <v>0</v>
      </c>
      <c r="D39" s="6">
        <v>5</v>
      </c>
      <c r="E39" s="6">
        <v>10</v>
      </c>
      <c r="F39" s="8" t="s">
        <v>1</v>
      </c>
      <c r="G39" s="8" t="s">
        <v>6</v>
      </c>
      <c r="H39" s="4">
        <v>4.0999999999999996</v>
      </c>
      <c r="I39" s="10">
        <v>20152.240000000002</v>
      </c>
      <c r="J39" s="6">
        <v>1</v>
      </c>
      <c r="K39" s="6">
        <v>0</v>
      </c>
    </row>
    <row r="40" spans="1:11" x14ac:dyDescent="0.2">
      <c r="A40" s="2">
        <v>39</v>
      </c>
      <c r="B40" s="6">
        <v>44</v>
      </c>
      <c r="C40" s="8" t="s">
        <v>0</v>
      </c>
      <c r="D40" s="6">
        <v>31</v>
      </c>
      <c r="E40" s="6">
        <v>0</v>
      </c>
      <c r="F40" s="8" t="s">
        <v>4</v>
      </c>
      <c r="G40" s="8" t="s">
        <v>2</v>
      </c>
      <c r="H40" s="4">
        <v>3.6</v>
      </c>
      <c r="I40" s="10">
        <v>4811.09</v>
      </c>
      <c r="J40" s="6">
        <v>1</v>
      </c>
      <c r="K40" s="6">
        <v>1</v>
      </c>
    </row>
    <row r="41" spans="1:11" x14ac:dyDescent="0.2">
      <c r="A41" s="2">
        <v>40</v>
      </c>
      <c r="B41" s="6">
        <v>76</v>
      </c>
      <c r="C41" s="8" t="s">
        <v>3</v>
      </c>
      <c r="D41" s="6">
        <v>5</v>
      </c>
      <c r="E41" s="6">
        <v>13</v>
      </c>
      <c r="F41" s="8" t="s">
        <v>1</v>
      </c>
      <c r="G41" s="8" t="s">
        <v>2</v>
      </c>
      <c r="H41" s="4">
        <v>1.7</v>
      </c>
      <c r="I41" s="10">
        <v>31044.79</v>
      </c>
      <c r="J41" s="6">
        <v>6</v>
      </c>
      <c r="K41" s="6">
        <v>1</v>
      </c>
    </row>
    <row r="42" spans="1:11" x14ac:dyDescent="0.2">
      <c r="A42" s="2">
        <v>41</v>
      </c>
      <c r="B42" s="6">
        <v>59</v>
      </c>
      <c r="C42" s="8" t="s">
        <v>3</v>
      </c>
      <c r="D42" s="6">
        <v>38</v>
      </c>
      <c r="E42" s="6">
        <v>4</v>
      </c>
      <c r="F42" s="8" t="s">
        <v>1</v>
      </c>
      <c r="G42" s="8" t="s">
        <v>2</v>
      </c>
      <c r="H42" s="4">
        <v>1.7</v>
      </c>
      <c r="I42" s="10">
        <v>6135</v>
      </c>
      <c r="J42" s="6">
        <v>7</v>
      </c>
      <c r="K42" s="6">
        <v>0</v>
      </c>
    </row>
    <row r="43" spans="1:11" x14ac:dyDescent="0.2">
      <c r="A43" s="2">
        <v>42</v>
      </c>
      <c r="B43" s="6">
        <v>45</v>
      </c>
      <c r="C43" s="8" t="s">
        <v>3</v>
      </c>
      <c r="D43" s="6">
        <v>3</v>
      </c>
      <c r="E43" s="6">
        <v>13</v>
      </c>
      <c r="F43" s="8" t="s">
        <v>1</v>
      </c>
      <c r="G43" s="8" t="s">
        <v>2</v>
      </c>
      <c r="H43" s="4">
        <v>1.4</v>
      </c>
      <c r="I43" s="10">
        <v>17588.55</v>
      </c>
      <c r="J43" s="6">
        <v>9</v>
      </c>
      <c r="K43" s="6">
        <v>0</v>
      </c>
    </row>
    <row r="44" spans="1:11" x14ac:dyDescent="0.2">
      <c r="A44" s="2">
        <v>43</v>
      </c>
      <c r="B44" s="6">
        <v>77</v>
      </c>
      <c r="C44" s="8" t="s">
        <v>0</v>
      </c>
      <c r="D44" s="6">
        <v>53</v>
      </c>
      <c r="E44" s="6">
        <v>3</v>
      </c>
      <c r="F44" s="8" t="s">
        <v>1</v>
      </c>
      <c r="G44" s="8" t="s">
        <v>2</v>
      </c>
      <c r="H44" s="4">
        <v>3.6</v>
      </c>
      <c r="I44" s="10">
        <v>25616.89</v>
      </c>
      <c r="J44" s="6">
        <v>7</v>
      </c>
      <c r="K44" s="6">
        <v>0</v>
      </c>
    </row>
    <row r="45" spans="1:11" x14ac:dyDescent="0.2">
      <c r="A45" s="2">
        <v>44</v>
      </c>
      <c r="B45" s="6">
        <v>33</v>
      </c>
      <c r="C45" s="8" t="s">
        <v>0</v>
      </c>
      <c r="D45" s="6">
        <v>23</v>
      </c>
      <c r="E45" s="6">
        <v>0</v>
      </c>
      <c r="F45" s="8" t="s">
        <v>4</v>
      </c>
      <c r="G45" s="8" t="s">
        <v>5</v>
      </c>
      <c r="H45" s="4">
        <v>4.0999999999999996</v>
      </c>
      <c r="I45" s="10">
        <v>43774.01</v>
      </c>
      <c r="J45" s="6">
        <v>3</v>
      </c>
      <c r="K45" s="6">
        <v>0</v>
      </c>
    </row>
    <row r="46" spans="1:11" x14ac:dyDescent="0.2">
      <c r="A46" s="2">
        <v>45</v>
      </c>
      <c r="B46" s="6">
        <v>32</v>
      </c>
      <c r="C46" s="8" t="s">
        <v>0</v>
      </c>
      <c r="D46" s="6">
        <v>37</v>
      </c>
      <c r="E46" s="6">
        <v>18</v>
      </c>
      <c r="F46" s="8" t="s">
        <v>1</v>
      </c>
      <c r="G46" s="8" t="s">
        <v>6</v>
      </c>
      <c r="H46" s="4">
        <v>2.1</v>
      </c>
      <c r="I46" s="10">
        <v>24930.560000000001</v>
      </c>
      <c r="J46" s="6">
        <v>0</v>
      </c>
      <c r="K46" s="6">
        <v>0</v>
      </c>
    </row>
    <row r="47" spans="1:11" x14ac:dyDescent="0.2">
      <c r="A47" s="2">
        <v>46</v>
      </c>
      <c r="B47" s="6">
        <v>79</v>
      </c>
      <c r="C47" s="8" t="s">
        <v>0</v>
      </c>
      <c r="D47" s="6">
        <v>53</v>
      </c>
      <c r="E47" s="6">
        <v>7</v>
      </c>
      <c r="F47" s="8" t="s">
        <v>4</v>
      </c>
      <c r="G47" s="8" t="s">
        <v>6</v>
      </c>
      <c r="H47" s="4">
        <v>1.1000000000000001</v>
      </c>
      <c r="I47" s="10">
        <v>35261.81</v>
      </c>
      <c r="J47" s="6">
        <v>6</v>
      </c>
      <c r="K47" s="6">
        <v>1</v>
      </c>
    </row>
    <row r="48" spans="1:11" x14ac:dyDescent="0.2">
      <c r="A48" s="2">
        <v>47</v>
      </c>
      <c r="B48" s="6">
        <v>79</v>
      </c>
      <c r="C48" s="8" t="s">
        <v>3</v>
      </c>
      <c r="D48" s="6">
        <v>37</v>
      </c>
      <c r="E48" s="6">
        <v>14</v>
      </c>
      <c r="F48" s="8" t="s">
        <v>4</v>
      </c>
      <c r="G48" s="8" t="s">
        <v>6</v>
      </c>
      <c r="H48" s="4">
        <v>1.3</v>
      </c>
      <c r="I48" s="10">
        <v>49644.43</v>
      </c>
      <c r="J48" s="6">
        <v>0</v>
      </c>
      <c r="K48" s="6">
        <v>0</v>
      </c>
    </row>
    <row r="49" spans="1:11" x14ac:dyDescent="0.2">
      <c r="A49" s="2">
        <v>48</v>
      </c>
      <c r="B49" s="6">
        <v>64</v>
      </c>
      <c r="C49" s="8" t="s">
        <v>3</v>
      </c>
      <c r="D49" s="6">
        <v>10</v>
      </c>
      <c r="E49" s="6">
        <v>14</v>
      </c>
      <c r="F49" s="8" t="s">
        <v>4</v>
      </c>
      <c r="G49" s="8" t="s">
        <v>6</v>
      </c>
      <c r="H49" s="4">
        <v>4.9000000000000004</v>
      </c>
      <c r="I49" s="10">
        <v>7008.71</v>
      </c>
      <c r="J49" s="6">
        <v>3</v>
      </c>
      <c r="K49" s="6">
        <v>1</v>
      </c>
    </row>
    <row r="50" spans="1:11" x14ac:dyDescent="0.2">
      <c r="A50" s="2">
        <v>49</v>
      </c>
      <c r="B50" s="6">
        <v>79</v>
      </c>
      <c r="C50" s="8" t="s">
        <v>0</v>
      </c>
      <c r="D50" s="6">
        <v>10</v>
      </c>
      <c r="E50" s="6">
        <v>8</v>
      </c>
      <c r="F50" s="8" t="s">
        <v>4</v>
      </c>
      <c r="G50" s="8" t="s">
        <v>6</v>
      </c>
      <c r="H50" s="4">
        <v>2.2000000000000002</v>
      </c>
      <c r="I50" s="10">
        <v>14099.21</v>
      </c>
      <c r="J50" s="6">
        <v>7</v>
      </c>
      <c r="K50" s="6">
        <v>1</v>
      </c>
    </row>
    <row r="51" spans="1:11" x14ac:dyDescent="0.2">
      <c r="A51" s="2">
        <v>50</v>
      </c>
      <c r="B51" s="6">
        <v>68</v>
      </c>
      <c r="C51" s="8" t="s">
        <v>3</v>
      </c>
      <c r="D51" s="6">
        <v>19</v>
      </c>
      <c r="E51" s="6">
        <v>8</v>
      </c>
      <c r="F51" s="8" t="s">
        <v>4</v>
      </c>
      <c r="G51" s="8" t="s">
        <v>6</v>
      </c>
      <c r="H51" s="4">
        <v>4.0999999999999996</v>
      </c>
      <c r="I51" s="10">
        <v>20031.52</v>
      </c>
      <c r="J51" s="6">
        <v>1</v>
      </c>
      <c r="K51" s="6">
        <v>0</v>
      </c>
    </row>
    <row r="52" spans="1:11" x14ac:dyDescent="0.2">
      <c r="A52" s="2">
        <v>51</v>
      </c>
      <c r="B52" s="6">
        <v>61</v>
      </c>
      <c r="C52" s="8" t="s">
        <v>3</v>
      </c>
      <c r="D52" s="6">
        <v>17</v>
      </c>
      <c r="E52" s="6">
        <v>9</v>
      </c>
      <c r="F52" s="8" t="s">
        <v>4</v>
      </c>
      <c r="G52" s="8" t="s">
        <v>6</v>
      </c>
      <c r="H52" s="4">
        <v>3.5</v>
      </c>
      <c r="I52" s="10">
        <v>21380.49</v>
      </c>
      <c r="J52" s="6">
        <v>5</v>
      </c>
      <c r="K52" s="6">
        <v>0</v>
      </c>
    </row>
    <row r="53" spans="1:11" x14ac:dyDescent="0.2">
      <c r="A53" s="2">
        <v>52</v>
      </c>
      <c r="B53" s="6">
        <v>72</v>
      </c>
      <c r="C53" s="8" t="s">
        <v>0</v>
      </c>
      <c r="D53" s="6">
        <v>21</v>
      </c>
      <c r="E53" s="6">
        <v>19</v>
      </c>
      <c r="F53" s="8" t="s">
        <v>4</v>
      </c>
      <c r="G53" s="8" t="s">
        <v>6</v>
      </c>
      <c r="H53" s="4">
        <v>2.5</v>
      </c>
      <c r="I53" s="10">
        <v>20845.54</v>
      </c>
      <c r="J53" s="6">
        <v>5</v>
      </c>
      <c r="K53" s="6">
        <v>0</v>
      </c>
    </row>
    <row r="54" spans="1:11" x14ac:dyDescent="0.2">
      <c r="A54" s="2">
        <v>53</v>
      </c>
      <c r="B54" s="6">
        <v>69</v>
      </c>
      <c r="C54" s="8" t="s">
        <v>3</v>
      </c>
      <c r="D54" s="6">
        <v>14</v>
      </c>
      <c r="E54" s="6">
        <v>8</v>
      </c>
      <c r="F54" s="8" t="s">
        <v>4</v>
      </c>
      <c r="G54" s="8" t="s">
        <v>5</v>
      </c>
      <c r="H54" s="4">
        <v>1.8</v>
      </c>
      <c r="I54" s="10">
        <v>45426.74</v>
      </c>
      <c r="J54" s="6">
        <v>8</v>
      </c>
      <c r="K54" s="6">
        <v>0</v>
      </c>
    </row>
    <row r="55" spans="1:11" x14ac:dyDescent="0.2">
      <c r="A55" s="2">
        <v>54</v>
      </c>
      <c r="B55" s="6">
        <v>74</v>
      </c>
      <c r="C55" s="8" t="s">
        <v>0</v>
      </c>
      <c r="D55" s="6">
        <v>9</v>
      </c>
      <c r="E55" s="6">
        <v>2</v>
      </c>
      <c r="F55" s="8" t="s">
        <v>4</v>
      </c>
      <c r="G55" s="8" t="s">
        <v>6</v>
      </c>
      <c r="H55" s="4">
        <v>1.5</v>
      </c>
      <c r="I55" s="10">
        <v>35844.620000000003</v>
      </c>
      <c r="J55" s="6">
        <v>4</v>
      </c>
      <c r="K55" s="6">
        <v>0</v>
      </c>
    </row>
    <row r="56" spans="1:11" x14ac:dyDescent="0.2">
      <c r="A56" s="2">
        <v>55</v>
      </c>
      <c r="B56" s="6">
        <v>20</v>
      </c>
      <c r="C56" s="8" t="s">
        <v>3</v>
      </c>
      <c r="D56" s="6">
        <v>46</v>
      </c>
      <c r="E56" s="6">
        <v>19</v>
      </c>
      <c r="F56" s="8" t="s">
        <v>4</v>
      </c>
      <c r="G56" s="8" t="s">
        <v>5</v>
      </c>
      <c r="H56" s="4">
        <v>3.5</v>
      </c>
      <c r="I56" s="10">
        <v>30591.31</v>
      </c>
      <c r="J56" s="6">
        <v>9</v>
      </c>
      <c r="K56" s="6">
        <v>0</v>
      </c>
    </row>
    <row r="57" spans="1:11" x14ac:dyDescent="0.2">
      <c r="A57" s="2">
        <v>56</v>
      </c>
      <c r="B57" s="6">
        <v>54</v>
      </c>
      <c r="C57" s="8" t="s">
        <v>0</v>
      </c>
      <c r="D57" s="6">
        <v>1</v>
      </c>
      <c r="E57" s="6">
        <v>10</v>
      </c>
      <c r="F57" s="8" t="s">
        <v>1</v>
      </c>
      <c r="G57" s="8" t="s">
        <v>2</v>
      </c>
      <c r="H57" s="4">
        <v>4.0999999999999996</v>
      </c>
      <c r="I57" s="10">
        <v>15813.95</v>
      </c>
      <c r="J57" s="6">
        <v>3</v>
      </c>
      <c r="K57" s="6">
        <v>0</v>
      </c>
    </row>
    <row r="58" spans="1:11" x14ac:dyDescent="0.2">
      <c r="A58" s="2">
        <v>57</v>
      </c>
      <c r="B58" s="6">
        <v>68</v>
      </c>
      <c r="C58" s="8" t="s">
        <v>0</v>
      </c>
      <c r="D58" s="6">
        <v>51</v>
      </c>
      <c r="E58" s="6">
        <v>5</v>
      </c>
      <c r="F58" s="8" t="s">
        <v>1</v>
      </c>
      <c r="G58" s="8" t="s">
        <v>6</v>
      </c>
      <c r="H58" s="4">
        <v>3.6</v>
      </c>
      <c r="I58" s="10">
        <v>41277.620000000003</v>
      </c>
      <c r="J58" s="6">
        <v>4</v>
      </c>
      <c r="K58" s="6">
        <v>0</v>
      </c>
    </row>
    <row r="59" spans="1:11" x14ac:dyDescent="0.2">
      <c r="A59" s="2">
        <v>58</v>
      </c>
      <c r="B59" s="6">
        <v>24</v>
      </c>
      <c r="C59" s="8" t="s">
        <v>0</v>
      </c>
      <c r="D59" s="6">
        <v>45</v>
      </c>
      <c r="E59" s="6">
        <v>1</v>
      </c>
      <c r="F59" s="8" t="s">
        <v>1</v>
      </c>
      <c r="G59" s="8" t="s">
        <v>2</v>
      </c>
      <c r="H59" s="4">
        <v>3.1</v>
      </c>
      <c r="I59" s="10">
        <v>47775.5</v>
      </c>
      <c r="J59" s="6">
        <v>9</v>
      </c>
      <c r="K59" s="6">
        <v>0</v>
      </c>
    </row>
    <row r="60" spans="1:11" x14ac:dyDescent="0.2">
      <c r="A60" s="2">
        <v>59</v>
      </c>
      <c r="B60" s="6">
        <v>38</v>
      </c>
      <c r="C60" s="8" t="s">
        <v>0</v>
      </c>
      <c r="D60" s="6">
        <v>13</v>
      </c>
      <c r="E60" s="6">
        <v>6</v>
      </c>
      <c r="F60" s="8" t="s">
        <v>4</v>
      </c>
      <c r="G60" s="8" t="s">
        <v>2</v>
      </c>
      <c r="H60" s="4">
        <v>1.2</v>
      </c>
      <c r="I60" s="10">
        <v>41149.31</v>
      </c>
      <c r="J60" s="6">
        <v>4</v>
      </c>
      <c r="K60" s="6">
        <v>0</v>
      </c>
    </row>
    <row r="61" spans="1:11" x14ac:dyDescent="0.2">
      <c r="A61" s="2">
        <v>60</v>
      </c>
      <c r="B61" s="6">
        <v>26</v>
      </c>
      <c r="C61" s="8" t="s">
        <v>3</v>
      </c>
      <c r="D61" s="6">
        <v>4</v>
      </c>
      <c r="E61" s="6">
        <v>17</v>
      </c>
      <c r="F61" s="8" t="s">
        <v>1</v>
      </c>
      <c r="G61" s="8" t="s">
        <v>2</v>
      </c>
      <c r="H61" s="4">
        <v>4.9000000000000004</v>
      </c>
      <c r="I61" s="10">
        <v>577.47</v>
      </c>
      <c r="J61" s="6">
        <v>7</v>
      </c>
      <c r="K61" s="6">
        <v>0</v>
      </c>
    </row>
    <row r="62" spans="1:11" x14ac:dyDescent="0.2">
      <c r="A62" s="2">
        <v>61</v>
      </c>
      <c r="B62" s="6">
        <v>56</v>
      </c>
      <c r="C62" s="8" t="s">
        <v>0</v>
      </c>
      <c r="D62" s="6">
        <v>1</v>
      </c>
      <c r="E62" s="6">
        <v>1</v>
      </c>
      <c r="F62" s="8" t="s">
        <v>1</v>
      </c>
      <c r="G62" s="8" t="s">
        <v>5</v>
      </c>
      <c r="H62" s="4">
        <v>4.2</v>
      </c>
      <c r="I62" s="10">
        <v>32001.87</v>
      </c>
      <c r="J62" s="6">
        <v>9</v>
      </c>
      <c r="K62" s="6">
        <v>0</v>
      </c>
    </row>
    <row r="63" spans="1:11" x14ac:dyDescent="0.2">
      <c r="A63" s="2">
        <v>62</v>
      </c>
      <c r="B63" s="6">
        <v>35</v>
      </c>
      <c r="C63" s="8" t="s">
        <v>0</v>
      </c>
      <c r="D63" s="6">
        <v>49</v>
      </c>
      <c r="E63" s="6">
        <v>16</v>
      </c>
      <c r="F63" s="8" t="s">
        <v>1</v>
      </c>
      <c r="G63" s="8" t="s">
        <v>2</v>
      </c>
      <c r="H63" s="4">
        <v>2.2000000000000002</v>
      </c>
      <c r="I63" s="10">
        <v>3031.2</v>
      </c>
      <c r="J63" s="6">
        <v>7</v>
      </c>
      <c r="K63" s="6">
        <v>0</v>
      </c>
    </row>
    <row r="64" spans="1:11" x14ac:dyDescent="0.2">
      <c r="A64" s="2">
        <v>63</v>
      </c>
      <c r="B64" s="6">
        <v>21</v>
      </c>
      <c r="C64" s="8" t="s">
        <v>0</v>
      </c>
      <c r="D64" s="6">
        <v>40</v>
      </c>
      <c r="E64" s="6">
        <v>10</v>
      </c>
      <c r="F64" s="8" t="s">
        <v>4</v>
      </c>
      <c r="G64" s="8" t="s">
        <v>2</v>
      </c>
      <c r="H64" s="4">
        <v>4.9000000000000004</v>
      </c>
      <c r="I64" s="10">
        <v>13251.56</v>
      </c>
      <c r="J64" s="6">
        <v>1</v>
      </c>
      <c r="K64" s="6">
        <v>0</v>
      </c>
    </row>
    <row r="65" spans="1:11" x14ac:dyDescent="0.2">
      <c r="A65" s="2">
        <v>64</v>
      </c>
      <c r="B65" s="6">
        <v>42</v>
      </c>
      <c r="C65" s="8" t="s">
        <v>3</v>
      </c>
      <c r="D65" s="6">
        <v>32</v>
      </c>
      <c r="E65" s="6">
        <v>11</v>
      </c>
      <c r="F65" s="8" t="s">
        <v>4</v>
      </c>
      <c r="G65" s="8" t="s">
        <v>2</v>
      </c>
      <c r="H65" s="4">
        <v>3.4</v>
      </c>
      <c r="I65" s="10">
        <v>3446.47</v>
      </c>
      <c r="J65" s="6">
        <v>6</v>
      </c>
      <c r="K65" s="6">
        <v>0</v>
      </c>
    </row>
    <row r="66" spans="1:11" x14ac:dyDescent="0.2">
      <c r="A66" s="2">
        <v>65</v>
      </c>
      <c r="B66" s="6">
        <v>77</v>
      </c>
      <c r="C66" s="8" t="s">
        <v>0</v>
      </c>
      <c r="D66" s="6">
        <v>34</v>
      </c>
      <c r="E66" s="6">
        <v>18</v>
      </c>
      <c r="F66" s="8" t="s">
        <v>4</v>
      </c>
      <c r="G66" s="8" t="s">
        <v>6</v>
      </c>
      <c r="H66" s="4">
        <v>3.3</v>
      </c>
      <c r="I66" s="10">
        <v>30387.87</v>
      </c>
      <c r="J66" s="6">
        <v>7</v>
      </c>
      <c r="K66" s="6">
        <v>0</v>
      </c>
    </row>
    <row r="67" spans="1:11" x14ac:dyDescent="0.2">
      <c r="A67" s="2">
        <v>66</v>
      </c>
      <c r="B67" s="6">
        <v>31</v>
      </c>
      <c r="C67" s="8" t="s">
        <v>3</v>
      </c>
      <c r="D67" s="6">
        <v>28</v>
      </c>
      <c r="E67" s="6">
        <v>6</v>
      </c>
      <c r="F67" s="8" t="s">
        <v>4</v>
      </c>
      <c r="G67" s="8" t="s">
        <v>6</v>
      </c>
      <c r="H67" s="4">
        <v>4</v>
      </c>
      <c r="I67" s="10">
        <v>34486.199999999997</v>
      </c>
      <c r="J67" s="6">
        <v>5</v>
      </c>
      <c r="K67" s="6">
        <v>0</v>
      </c>
    </row>
    <row r="68" spans="1:11" x14ac:dyDescent="0.2">
      <c r="A68" s="2">
        <v>67</v>
      </c>
      <c r="B68" s="6">
        <v>67</v>
      </c>
      <c r="C68" s="8" t="s">
        <v>0</v>
      </c>
      <c r="D68" s="6">
        <v>31</v>
      </c>
      <c r="E68" s="6">
        <v>19</v>
      </c>
      <c r="F68" s="8" t="s">
        <v>1</v>
      </c>
      <c r="G68" s="8" t="s">
        <v>5</v>
      </c>
      <c r="H68" s="4">
        <v>4.2</v>
      </c>
      <c r="I68" s="10">
        <v>6167.14</v>
      </c>
      <c r="J68" s="6">
        <v>4</v>
      </c>
      <c r="K68" s="6">
        <v>0</v>
      </c>
    </row>
    <row r="69" spans="1:11" x14ac:dyDescent="0.2">
      <c r="A69" s="2">
        <v>68</v>
      </c>
      <c r="B69" s="6">
        <v>75</v>
      </c>
      <c r="C69" s="8" t="s">
        <v>3</v>
      </c>
      <c r="D69" s="6">
        <v>8</v>
      </c>
      <c r="E69" s="6">
        <v>5</v>
      </c>
      <c r="F69" s="8" t="s">
        <v>1</v>
      </c>
      <c r="G69" s="8" t="s">
        <v>5</v>
      </c>
      <c r="H69" s="4">
        <v>3.6</v>
      </c>
      <c r="I69" s="10">
        <v>19500.02</v>
      </c>
      <c r="J69" s="6">
        <v>8</v>
      </c>
      <c r="K69" s="6">
        <v>1</v>
      </c>
    </row>
    <row r="70" spans="1:11" x14ac:dyDescent="0.2">
      <c r="A70" s="2">
        <v>69</v>
      </c>
      <c r="B70" s="6">
        <v>26</v>
      </c>
      <c r="C70" s="8" t="s">
        <v>3</v>
      </c>
      <c r="D70" s="6">
        <v>39</v>
      </c>
      <c r="E70" s="6">
        <v>0</v>
      </c>
      <c r="F70" s="8" t="s">
        <v>1</v>
      </c>
      <c r="G70" s="8" t="s">
        <v>6</v>
      </c>
      <c r="H70" s="4">
        <v>1.5</v>
      </c>
      <c r="I70" s="10">
        <v>23083.71</v>
      </c>
      <c r="J70" s="6">
        <v>2</v>
      </c>
      <c r="K70" s="6">
        <v>0</v>
      </c>
    </row>
    <row r="71" spans="1:11" x14ac:dyDescent="0.2">
      <c r="A71" s="2">
        <v>70</v>
      </c>
      <c r="B71" s="6">
        <v>43</v>
      </c>
      <c r="C71" s="8" t="s">
        <v>0</v>
      </c>
      <c r="D71" s="6">
        <v>26</v>
      </c>
      <c r="E71" s="6">
        <v>16</v>
      </c>
      <c r="F71" s="8" t="s">
        <v>1</v>
      </c>
      <c r="G71" s="8" t="s">
        <v>5</v>
      </c>
      <c r="H71" s="4">
        <v>2.4</v>
      </c>
      <c r="I71" s="10">
        <v>18768.12</v>
      </c>
      <c r="J71" s="6">
        <v>9</v>
      </c>
      <c r="K71" s="6">
        <v>0</v>
      </c>
    </row>
    <row r="72" spans="1:11" x14ac:dyDescent="0.2">
      <c r="A72" s="2">
        <v>71</v>
      </c>
      <c r="B72" s="6">
        <v>70</v>
      </c>
      <c r="C72" s="8" t="s">
        <v>3</v>
      </c>
      <c r="D72" s="6">
        <v>58</v>
      </c>
      <c r="E72" s="6">
        <v>10</v>
      </c>
      <c r="F72" s="8" t="s">
        <v>4</v>
      </c>
      <c r="G72" s="8" t="s">
        <v>6</v>
      </c>
      <c r="H72" s="4">
        <v>4.7</v>
      </c>
      <c r="I72" s="10">
        <v>6490.74</v>
      </c>
      <c r="J72" s="6">
        <v>3</v>
      </c>
      <c r="K72" s="6">
        <v>0</v>
      </c>
    </row>
    <row r="73" spans="1:11" x14ac:dyDescent="0.2">
      <c r="A73" s="2">
        <v>72</v>
      </c>
      <c r="B73" s="6">
        <v>19</v>
      </c>
      <c r="C73" s="8" t="s">
        <v>0</v>
      </c>
      <c r="D73" s="6">
        <v>34</v>
      </c>
      <c r="E73" s="6">
        <v>17</v>
      </c>
      <c r="F73" s="8" t="s">
        <v>4</v>
      </c>
      <c r="G73" s="8" t="s">
        <v>2</v>
      </c>
      <c r="H73" s="4">
        <v>1.9</v>
      </c>
      <c r="I73" s="10">
        <v>21237.919999999998</v>
      </c>
      <c r="J73" s="6">
        <v>8</v>
      </c>
      <c r="K73" s="6">
        <v>0</v>
      </c>
    </row>
    <row r="74" spans="1:11" x14ac:dyDescent="0.2">
      <c r="A74" s="2">
        <v>73</v>
      </c>
      <c r="B74" s="6">
        <v>37</v>
      </c>
      <c r="C74" s="8" t="s">
        <v>0</v>
      </c>
      <c r="D74" s="6">
        <v>54</v>
      </c>
      <c r="E74" s="6">
        <v>16</v>
      </c>
      <c r="F74" s="8" t="s">
        <v>4</v>
      </c>
      <c r="G74" s="8" t="s">
        <v>2</v>
      </c>
      <c r="H74" s="4">
        <v>2.5</v>
      </c>
      <c r="I74" s="10">
        <v>37683.31</v>
      </c>
      <c r="J74" s="6">
        <v>5</v>
      </c>
      <c r="K74" s="6">
        <v>0</v>
      </c>
    </row>
    <row r="75" spans="1:11" x14ac:dyDescent="0.2">
      <c r="A75" s="2">
        <v>74</v>
      </c>
      <c r="B75" s="6">
        <v>45</v>
      </c>
      <c r="C75" s="8" t="s">
        <v>0</v>
      </c>
      <c r="D75" s="6">
        <v>54</v>
      </c>
      <c r="E75" s="6">
        <v>6</v>
      </c>
      <c r="F75" s="8" t="s">
        <v>1</v>
      </c>
      <c r="G75" s="8" t="s">
        <v>5</v>
      </c>
      <c r="H75" s="4">
        <v>2.7</v>
      </c>
      <c r="I75" s="10">
        <v>4014.88</v>
      </c>
      <c r="J75" s="6">
        <v>7</v>
      </c>
      <c r="K75" s="6">
        <v>0</v>
      </c>
    </row>
    <row r="76" spans="1:11" x14ac:dyDescent="0.2">
      <c r="A76" s="2">
        <v>75</v>
      </c>
      <c r="B76" s="6">
        <v>64</v>
      </c>
      <c r="C76" s="8" t="s">
        <v>3</v>
      </c>
      <c r="D76" s="6">
        <v>3</v>
      </c>
      <c r="E76" s="6">
        <v>16</v>
      </c>
      <c r="F76" s="8" t="s">
        <v>4</v>
      </c>
      <c r="G76" s="8" t="s">
        <v>6</v>
      </c>
      <c r="H76" s="4">
        <v>2.8</v>
      </c>
      <c r="I76" s="10">
        <v>4468.91</v>
      </c>
      <c r="J76" s="6">
        <v>6</v>
      </c>
      <c r="K76" s="6">
        <v>0</v>
      </c>
    </row>
    <row r="77" spans="1:11" x14ac:dyDescent="0.2">
      <c r="A77" s="2">
        <v>76</v>
      </c>
      <c r="B77" s="6">
        <v>77</v>
      </c>
      <c r="C77" s="8" t="s">
        <v>3</v>
      </c>
      <c r="D77" s="6">
        <v>59</v>
      </c>
      <c r="E77" s="6">
        <v>19</v>
      </c>
      <c r="F77" s="8" t="s">
        <v>4</v>
      </c>
      <c r="G77" s="8" t="s">
        <v>6</v>
      </c>
      <c r="H77" s="4">
        <v>3.5</v>
      </c>
      <c r="I77" s="10">
        <v>18061.18</v>
      </c>
      <c r="J77" s="6">
        <v>1</v>
      </c>
      <c r="K77" s="6">
        <v>0</v>
      </c>
    </row>
    <row r="78" spans="1:11" x14ac:dyDescent="0.2">
      <c r="A78" s="2">
        <v>77</v>
      </c>
      <c r="B78" s="6">
        <v>24</v>
      </c>
      <c r="C78" s="8" t="s">
        <v>0</v>
      </c>
      <c r="D78" s="6">
        <v>50</v>
      </c>
      <c r="E78" s="6">
        <v>8</v>
      </c>
      <c r="F78" s="8" t="s">
        <v>1</v>
      </c>
      <c r="G78" s="8" t="s">
        <v>5</v>
      </c>
      <c r="H78" s="4">
        <v>4.8</v>
      </c>
      <c r="I78" s="10">
        <v>47115.42</v>
      </c>
      <c r="J78" s="6">
        <v>2</v>
      </c>
      <c r="K78" s="6">
        <v>0</v>
      </c>
    </row>
    <row r="79" spans="1:11" x14ac:dyDescent="0.2">
      <c r="A79" s="2">
        <v>78</v>
      </c>
      <c r="B79" s="6">
        <v>61</v>
      </c>
      <c r="C79" s="8" t="s">
        <v>0</v>
      </c>
      <c r="D79" s="6">
        <v>12</v>
      </c>
      <c r="E79" s="6">
        <v>16</v>
      </c>
      <c r="F79" s="8" t="s">
        <v>1</v>
      </c>
      <c r="G79" s="8" t="s">
        <v>6</v>
      </c>
      <c r="H79" s="4">
        <v>2</v>
      </c>
      <c r="I79" s="10">
        <v>33594.35</v>
      </c>
      <c r="J79" s="6">
        <v>0</v>
      </c>
      <c r="K79" s="6">
        <v>0</v>
      </c>
    </row>
    <row r="80" spans="1:11" x14ac:dyDescent="0.2">
      <c r="A80" s="2">
        <v>79</v>
      </c>
      <c r="B80" s="6">
        <v>78</v>
      </c>
      <c r="C80" s="8" t="s">
        <v>3</v>
      </c>
      <c r="D80" s="6">
        <v>1</v>
      </c>
      <c r="E80" s="6">
        <v>19</v>
      </c>
      <c r="F80" s="8" t="s">
        <v>4</v>
      </c>
      <c r="G80" s="8" t="s">
        <v>2</v>
      </c>
      <c r="H80" s="4">
        <v>1.5</v>
      </c>
      <c r="I80" s="10">
        <v>34094.160000000003</v>
      </c>
      <c r="J80" s="6">
        <v>8</v>
      </c>
      <c r="K80" s="6">
        <v>0</v>
      </c>
    </row>
    <row r="81" spans="1:11" x14ac:dyDescent="0.2">
      <c r="A81" s="2">
        <v>80</v>
      </c>
      <c r="B81" s="6">
        <v>25</v>
      </c>
      <c r="C81" s="8" t="s">
        <v>0</v>
      </c>
      <c r="D81" s="6">
        <v>54</v>
      </c>
      <c r="E81" s="6">
        <v>7</v>
      </c>
      <c r="F81" s="8" t="s">
        <v>4</v>
      </c>
      <c r="G81" s="8" t="s">
        <v>5</v>
      </c>
      <c r="H81" s="4">
        <v>1.8</v>
      </c>
      <c r="I81" s="10">
        <v>18415.04</v>
      </c>
      <c r="J81" s="6">
        <v>6</v>
      </c>
      <c r="K81" s="6">
        <v>1</v>
      </c>
    </row>
    <row r="82" spans="1:11" x14ac:dyDescent="0.2">
      <c r="A82" s="2">
        <v>81</v>
      </c>
      <c r="B82" s="6">
        <v>64</v>
      </c>
      <c r="C82" s="8" t="s">
        <v>0</v>
      </c>
      <c r="D82" s="6">
        <v>44</v>
      </c>
      <c r="E82" s="6">
        <v>16</v>
      </c>
      <c r="F82" s="8" t="s">
        <v>4</v>
      </c>
      <c r="G82" s="8" t="s">
        <v>5</v>
      </c>
      <c r="H82" s="4">
        <v>4.5</v>
      </c>
      <c r="I82" s="10">
        <v>29886.21</v>
      </c>
      <c r="J82" s="6">
        <v>0</v>
      </c>
      <c r="K82" s="6">
        <v>0</v>
      </c>
    </row>
    <row r="83" spans="1:11" x14ac:dyDescent="0.2">
      <c r="A83" s="2">
        <v>82</v>
      </c>
      <c r="B83" s="6">
        <v>52</v>
      </c>
      <c r="C83" s="8" t="s">
        <v>0</v>
      </c>
      <c r="D83" s="6">
        <v>5</v>
      </c>
      <c r="E83" s="6">
        <v>6</v>
      </c>
      <c r="F83" s="8" t="s">
        <v>4</v>
      </c>
      <c r="G83" s="8" t="s">
        <v>6</v>
      </c>
      <c r="H83" s="4">
        <v>3.6</v>
      </c>
      <c r="I83" s="10">
        <v>1001.49</v>
      </c>
      <c r="J83" s="6">
        <v>2</v>
      </c>
      <c r="K83" s="6">
        <v>0</v>
      </c>
    </row>
    <row r="84" spans="1:11" x14ac:dyDescent="0.2">
      <c r="A84" s="2">
        <v>83</v>
      </c>
      <c r="B84" s="6">
        <v>31</v>
      </c>
      <c r="C84" s="8" t="s">
        <v>3</v>
      </c>
      <c r="D84" s="6">
        <v>30</v>
      </c>
      <c r="E84" s="6">
        <v>0</v>
      </c>
      <c r="F84" s="8" t="s">
        <v>4</v>
      </c>
      <c r="G84" s="8" t="s">
        <v>5</v>
      </c>
      <c r="H84" s="4">
        <v>2.1</v>
      </c>
      <c r="I84" s="10">
        <v>31986.75</v>
      </c>
      <c r="J84" s="6">
        <v>3</v>
      </c>
      <c r="K84" s="6">
        <v>0</v>
      </c>
    </row>
    <row r="85" spans="1:11" x14ac:dyDescent="0.2">
      <c r="A85" s="2">
        <v>84</v>
      </c>
      <c r="B85" s="6">
        <v>34</v>
      </c>
      <c r="C85" s="8" t="s">
        <v>3</v>
      </c>
      <c r="D85" s="6">
        <v>30</v>
      </c>
      <c r="E85" s="6">
        <v>12</v>
      </c>
      <c r="F85" s="8" t="s">
        <v>4</v>
      </c>
      <c r="G85" s="8" t="s">
        <v>6</v>
      </c>
      <c r="H85" s="4">
        <v>4.3</v>
      </c>
      <c r="I85" s="10">
        <v>45707.7</v>
      </c>
      <c r="J85" s="6">
        <v>3</v>
      </c>
      <c r="K85" s="6">
        <v>0</v>
      </c>
    </row>
    <row r="86" spans="1:11" x14ac:dyDescent="0.2">
      <c r="A86" s="2">
        <v>85</v>
      </c>
      <c r="B86" s="6">
        <v>53</v>
      </c>
      <c r="C86" s="8" t="s">
        <v>3</v>
      </c>
      <c r="D86" s="6">
        <v>59</v>
      </c>
      <c r="E86" s="6">
        <v>18</v>
      </c>
      <c r="F86" s="8" t="s">
        <v>1</v>
      </c>
      <c r="G86" s="8" t="s">
        <v>6</v>
      </c>
      <c r="H86" s="4">
        <v>4.4000000000000004</v>
      </c>
      <c r="I86" s="10">
        <v>30822.39</v>
      </c>
      <c r="J86" s="6">
        <v>4</v>
      </c>
      <c r="K86" s="6">
        <v>0</v>
      </c>
    </row>
    <row r="87" spans="1:11" x14ac:dyDescent="0.2">
      <c r="A87" s="2">
        <v>86</v>
      </c>
      <c r="B87" s="6">
        <v>67</v>
      </c>
      <c r="C87" s="8" t="s">
        <v>0</v>
      </c>
      <c r="D87" s="6">
        <v>57</v>
      </c>
      <c r="E87" s="6">
        <v>18</v>
      </c>
      <c r="F87" s="8" t="s">
        <v>1</v>
      </c>
      <c r="G87" s="8" t="s">
        <v>6</v>
      </c>
      <c r="H87" s="4">
        <v>4.4000000000000004</v>
      </c>
      <c r="I87" s="10">
        <v>43748.08</v>
      </c>
      <c r="J87" s="6">
        <v>2</v>
      </c>
      <c r="K87" s="6">
        <v>0</v>
      </c>
    </row>
    <row r="88" spans="1:11" x14ac:dyDescent="0.2">
      <c r="A88" s="2">
        <v>87</v>
      </c>
      <c r="B88" s="6">
        <v>57</v>
      </c>
      <c r="C88" s="8" t="s">
        <v>0</v>
      </c>
      <c r="D88" s="6">
        <v>17</v>
      </c>
      <c r="E88" s="6">
        <v>16</v>
      </c>
      <c r="F88" s="8" t="s">
        <v>1</v>
      </c>
      <c r="G88" s="8" t="s">
        <v>6</v>
      </c>
      <c r="H88" s="4">
        <v>4.7</v>
      </c>
      <c r="I88" s="10">
        <v>36336.67</v>
      </c>
      <c r="J88" s="6">
        <v>2</v>
      </c>
      <c r="K88" s="6">
        <v>0</v>
      </c>
    </row>
    <row r="89" spans="1:11" x14ac:dyDescent="0.2">
      <c r="A89" s="2">
        <v>88</v>
      </c>
      <c r="B89" s="6">
        <v>21</v>
      </c>
      <c r="C89" s="8" t="s">
        <v>0</v>
      </c>
      <c r="D89" s="6">
        <v>48</v>
      </c>
      <c r="E89" s="6">
        <v>12</v>
      </c>
      <c r="F89" s="8" t="s">
        <v>4</v>
      </c>
      <c r="G89" s="8" t="s">
        <v>6</v>
      </c>
      <c r="H89" s="4">
        <v>2</v>
      </c>
      <c r="I89" s="10">
        <v>6467.64</v>
      </c>
      <c r="J89" s="6">
        <v>0</v>
      </c>
      <c r="K89" s="6">
        <v>0</v>
      </c>
    </row>
    <row r="90" spans="1:11" x14ac:dyDescent="0.2">
      <c r="A90" s="2">
        <v>89</v>
      </c>
      <c r="B90" s="6">
        <v>19</v>
      </c>
      <c r="C90" s="8" t="s">
        <v>3</v>
      </c>
      <c r="D90" s="6">
        <v>47</v>
      </c>
      <c r="E90" s="6">
        <v>15</v>
      </c>
      <c r="F90" s="8" t="s">
        <v>1</v>
      </c>
      <c r="G90" s="8" t="s">
        <v>5</v>
      </c>
      <c r="H90" s="4">
        <v>4</v>
      </c>
      <c r="I90" s="10">
        <v>45171.44</v>
      </c>
      <c r="J90" s="6">
        <v>6</v>
      </c>
      <c r="K90" s="6">
        <v>0</v>
      </c>
    </row>
    <row r="91" spans="1:11" x14ac:dyDescent="0.2">
      <c r="A91" s="2">
        <v>90</v>
      </c>
      <c r="B91" s="6">
        <v>79</v>
      </c>
      <c r="C91" s="8" t="s">
        <v>0</v>
      </c>
      <c r="D91" s="6">
        <v>23</v>
      </c>
      <c r="E91" s="6">
        <v>7</v>
      </c>
      <c r="F91" s="8" t="s">
        <v>4</v>
      </c>
      <c r="G91" s="8" t="s">
        <v>2</v>
      </c>
      <c r="H91" s="4">
        <v>2.8</v>
      </c>
      <c r="I91" s="10">
        <v>3788.97</v>
      </c>
      <c r="J91" s="6">
        <v>9</v>
      </c>
      <c r="K91" s="6">
        <v>0</v>
      </c>
    </row>
    <row r="92" spans="1:11" x14ac:dyDescent="0.2">
      <c r="A92" s="2">
        <v>91</v>
      </c>
      <c r="B92" s="6">
        <v>23</v>
      </c>
      <c r="C92" s="8" t="s">
        <v>0</v>
      </c>
      <c r="D92" s="6">
        <v>15</v>
      </c>
      <c r="E92" s="6">
        <v>18</v>
      </c>
      <c r="F92" s="8" t="s">
        <v>4</v>
      </c>
      <c r="G92" s="8" t="s">
        <v>2</v>
      </c>
      <c r="H92" s="4">
        <v>4.4000000000000004</v>
      </c>
      <c r="I92" s="10">
        <v>26931.39</v>
      </c>
      <c r="J92" s="6">
        <v>0</v>
      </c>
      <c r="K92" s="6">
        <v>1</v>
      </c>
    </row>
    <row r="93" spans="1:11" x14ac:dyDescent="0.2">
      <c r="A93" s="2">
        <v>92</v>
      </c>
      <c r="B93" s="6">
        <v>71</v>
      </c>
      <c r="C93" s="8" t="s">
        <v>0</v>
      </c>
      <c r="D93" s="6">
        <v>37</v>
      </c>
      <c r="E93" s="6">
        <v>17</v>
      </c>
      <c r="F93" s="8" t="s">
        <v>1</v>
      </c>
      <c r="G93" s="8" t="s">
        <v>5</v>
      </c>
      <c r="H93" s="4">
        <v>3.9</v>
      </c>
      <c r="I93" s="10">
        <v>7535.79</v>
      </c>
      <c r="J93" s="6">
        <v>1</v>
      </c>
      <c r="K93" s="6">
        <v>0</v>
      </c>
    </row>
    <row r="94" spans="1:11" x14ac:dyDescent="0.2">
      <c r="A94" s="2">
        <v>93</v>
      </c>
      <c r="B94" s="6">
        <v>59</v>
      </c>
      <c r="C94" s="8" t="s">
        <v>0</v>
      </c>
      <c r="D94" s="6">
        <v>21</v>
      </c>
      <c r="E94" s="6">
        <v>0</v>
      </c>
      <c r="F94" s="8" t="s">
        <v>4</v>
      </c>
      <c r="G94" s="8" t="s">
        <v>5</v>
      </c>
      <c r="H94" s="4">
        <v>4.0999999999999996</v>
      </c>
      <c r="I94" s="10">
        <v>1079.48</v>
      </c>
      <c r="J94" s="6">
        <v>3</v>
      </c>
      <c r="K94" s="6">
        <v>0</v>
      </c>
    </row>
    <row r="95" spans="1:11" x14ac:dyDescent="0.2">
      <c r="A95" s="2">
        <v>94</v>
      </c>
      <c r="B95" s="6">
        <v>21</v>
      </c>
      <c r="C95" s="8" t="s">
        <v>3</v>
      </c>
      <c r="D95" s="6">
        <v>14</v>
      </c>
      <c r="E95" s="6">
        <v>13</v>
      </c>
      <c r="F95" s="8" t="s">
        <v>4</v>
      </c>
      <c r="G95" s="8" t="s">
        <v>2</v>
      </c>
      <c r="H95" s="4">
        <v>3.6</v>
      </c>
      <c r="I95" s="10">
        <v>21390.7</v>
      </c>
      <c r="J95" s="6">
        <v>3</v>
      </c>
      <c r="K95" s="6">
        <v>0</v>
      </c>
    </row>
    <row r="96" spans="1:11" x14ac:dyDescent="0.2">
      <c r="A96" s="2">
        <v>95</v>
      </c>
      <c r="B96" s="6">
        <v>71</v>
      </c>
      <c r="C96" s="8" t="s">
        <v>3</v>
      </c>
      <c r="D96" s="6">
        <v>2</v>
      </c>
      <c r="E96" s="6">
        <v>18</v>
      </c>
      <c r="F96" s="8" t="s">
        <v>1</v>
      </c>
      <c r="G96" s="8" t="s">
        <v>2</v>
      </c>
      <c r="H96" s="4">
        <v>1.7</v>
      </c>
      <c r="I96" s="10">
        <v>15104.52</v>
      </c>
      <c r="J96" s="6">
        <v>4</v>
      </c>
      <c r="K96" s="6">
        <v>0</v>
      </c>
    </row>
    <row r="97" spans="1:11" x14ac:dyDescent="0.2">
      <c r="A97" s="2">
        <v>96</v>
      </c>
      <c r="B97" s="6">
        <v>46</v>
      </c>
      <c r="C97" s="8" t="s">
        <v>0</v>
      </c>
      <c r="D97" s="6">
        <v>11</v>
      </c>
      <c r="E97" s="6">
        <v>14</v>
      </c>
      <c r="F97" s="8" t="s">
        <v>1</v>
      </c>
      <c r="G97" s="8" t="s">
        <v>2</v>
      </c>
      <c r="H97" s="4">
        <v>3.2</v>
      </c>
      <c r="I97" s="10">
        <v>24557.02</v>
      </c>
      <c r="J97" s="6">
        <v>1</v>
      </c>
      <c r="K97" s="6">
        <v>0</v>
      </c>
    </row>
    <row r="98" spans="1:11" x14ac:dyDescent="0.2">
      <c r="A98" s="2">
        <v>97</v>
      </c>
      <c r="B98" s="6">
        <v>35</v>
      </c>
      <c r="C98" s="8" t="s">
        <v>3</v>
      </c>
      <c r="D98" s="6">
        <v>51</v>
      </c>
      <c r="E98" s="6">
        <v>17</v>
      </c>
      <c r="F98" s="8" t="s">
        <v>1</v>
      </c>
      <c r="G98" s="8" t="s">
        <v>2</v>
      </c>
      <c r="H98" s="4">
        <v>4.9000000000000004</v>
      </c>
      <c r="I98" s="10">
        <v>29071.39</v>
      </c>
      <c r="J98" s="6">
        <v>3</v>
      </c>
      <c r="K98" s="6">
        <v>0</v>
      </c>
    </row>
    <row r="99" spans="1:11" x14ac:dyDescent="0.2">
      <c r="A99" s="2">
        <v>98</v>
      </c>
      <c r="B99" s="6">
        <v>43</v>
      </c>
      <c r="C99" s="8" t="s">
        <v>3</v>
      </c>
      <c r="D99" s="6">
        <v>39</v>
      </c>
      <c r="E99" s="6">
        <v>1</v>
      </c>
      <c r="F99" s="8" t="s">
        <v>4</v>
      </c>
      <c r="G99" s="8" t="s">
        <v>2</v>
      </c>
      <c r="H99" s="4">
        <v>4.7</v>
      </c>
      <c r="I99" s="10">
        <v>2665.08</v>
      </c>
      <c r="J99" s="6">
        <v>0</v>
      </c>
      <c r="K99" s="6">
        <v>0</v>
      </c>
    </row>
    <row r="100" spans="1:11" x14ac:dyDescent="0.2">
      <c r="A100" s="2">
        <v>99</v>
      </c>
      <c r="B100" s="6">
        <v>61</v>
      </c>
      <c r="C100" s="8" t="s">
        <v>0</v>
      </c>
      <c r="D100" s="6">
        <v>38</v>
      </c>
      <c r="E100" s="6">
        <v>16</v>
      </c>
      <c r="F100" s="8" t="s">
        <v>1</v>
      </c>
      <c r="G100" s="8" t="s">
        <v>6</v>
      </c>
      <c r="H100" s="4">
        <v>1.2</v>
      </c>
      <c r="I100" s="10">
        <v>6588.66</v>
      </c>
      <c r="J100" s="6">
        <v>1</v>
      </c>
      <c r="K100" s="6">
        <v>0</v>
      </c>
    </row>
    <row r="101" spans="1:11" x14ac:dyDescent="0.2">
      <c r="A101" s="2">
        <v>100</v>
      </c>
      <c r="B101" s="6">
        <v>51</v>
      </c>
      <c r="C101" s="8" t="s">
        <v>0</v>
      </c>
      <c r="D101" s="6">
        <v>34</v>
      </c>
      <c r="E101" s="6">
        <v>17</v>
      </c>
      <c r="F101" s="8" t="s">
        <v>1</v>
      </c>
      <c r="G101" s="8" t="s">
        <v>5</v>
      </c>
      <c r="H101" s="4">
        <v>1.7</v>
      </c>
      <c r="I101" s="10">
        <v>28152.799999999999</v>
      </c>
      <c r="J101" s="6">
        <v>0</v>
      </c>
      <c r="K101" s="6">
        <v>0</v>
      </c>
    </row>
    <row r="102" spans="1:11" x14ac:dyDescent="0.2">
      <c r="A102" s="2">
        <v>101</v>
      </c>
      <c r="B102" s="6">
        <v>27</v>
      </c>
      <c r="C102" s="8" t="s">
        <v>3</v>
      </c>
      <c r="D102" s="6">
        <v>38</v>
      </c>
      <c r="E102" s="6">
        <v>5</v>
      </c>
      <c r="F102" s="8" t="s">
        <v>4</v>
      </c>
      <c r="G102" s="8" t="s">
        <v>6</v>
      </c>
      <c r="H102" s="4">
        <v>1.5</v>
      </c>
      <c r="I102" s="10">
        <v>17486.78</v>
      </c>
      <c r="J102" s="6">
        <v>9</v>
      </c>
      <c r="K102" s="6">
        <v>0</v>
      </c>
    </row>
    <row r="103" spans="1:11" x14ac:dyDescent="0.2">
      <c r="A103" s="2">
        <v>102</v>
      </c>
      <c r="B103" s="6">
        <v>79</v>
      </c>
      <c r="C103" s="8" t="s">
        <v>0</v>
      </c>
      <c r="D103" s="6">
        <v>50</v>
      </c>
      <c r="E103" s="6">
        <v>18</v>
      </c>
      <c r="F103" s="8" t="s">
        <v>1</v>
      </c>
      <c r="G103" s="8" t="s">
        <v>2</v>
      </c>
      <c r="H103" s="4">
        <v>3.9</v>
      </c>
      <c r="I103" s="10">
        <v>36594.089999999997</v>
      </c>
      <c r="J103" s="6">
        <v>9</v>
      </c>
      <c r="K103" s="6">
        <v>1</v>
      </c>
    </row>
    <row r="104" spans="1:11" x14ac:dyDescent="0.2">
      <c r="A104" s="2">
        <v>103</v>
      </c>
      <c r="B104" s="6">
        <v>53</v>
      </c>
      <c r="C104" s="8" t="s">
        <v>3</v>
      </c>
      <c r="D104" s="6">
        <v>34</v>
      </c>
      <c r="E104" s="6">
        <v>3</v>
      </c>
      <c r="F104" s="8" t="s">
        <v>1</v>
      </c>
      <c r="G104" s="8" t="s">
        <v>2</v>
      </c>
      <c r="H104" s="4">
        <v>4.3</v>
      </c>
      <c r="I104" s="10">
        <v>32788.44</v>
      </c>
      <c r="J104" s="6">
        <v>3</v>
      </c>
      <c r="K104" s="6">
        <v>0</v>
      </c>
    </row>
    <row r="105" spans="1:11" x14ac:dyDescent="0.2">
      <c r="A105" s="2">
        <v>104</v>
      </c>
      <c r="B105" s="6">
        <v>31</v>
      </c>
      <c r="C105" s="8" t="s">
        <v>0</v>
      </c>
      <c r="D105" s="6">
        <v>18</v>
      </c>
      <c r="E105" s="6">
        <v>0</v>
      </c>
      <c r="F105" s="8" t="s">
        <v>1</v>
      </c>
      <c r="G105" s="8" t="s">
        <v>2</v>
      </c>
      <c r="H105" s="4">
        <v>1.9</v>
      </c>
      <c r="I105" s="10">
        <v>42357.42</v>
      </c>
      <c r="J105" s="6">
        <v>3</v>
      </c>
      <c r="K105" s="6">
        <v>0</v>
      </c>
    </row>
    <row r="106" spans="1:11" x14ac:dyDescent="0.2">
      <c r="A106" s="2">
        <v>105</v>
      </c>
      <c r="B106" s="6">
        <v>48</v>
      </c>
      <c r="C106" s="8" t="s">
        <v>3</v>
      </c>
      <c r="D106" s="6">
        <v>30</v>
      </c>
      <c r="E106" s="6">
        <v>7</v>
      </c>
      <c r="F106" s="8" t="s">
        <v>4</v>
      </c>
      <c r="G106" s="8" t="s">
        <v>6</v>
      </c>
      <c r="H106" s="4">
        <v>3</v>
      </c>
      <c r="I106" s="10">
        <v>34778.39</v>
      </c>
      <c r="J106" s="6">
        <v>6</v>
      </c>
      <c r="K106" s="6">
        <v>0</v>
      </c>
    </row>
    <row r="107" spans="1:11" x14ac:dyDescent="0.2">
      <c r="A107" s="2">
        <v>106</v>
      </c>
      <c r="B107" s="6">
        <v>65</v>
      </c>
      <c r="C107" s="8" t="s">
        <v>0</v>
      </c>
      <c r="D107" s="6">
        <v>15</v>
      </c>
      <c r="E107" s="6">
        <v>6</v>
      </c>
      <c r="F107" s="8" t="s">
        <v>4</v>
      </c>
      <c r="G107" s="8" t="s">
        <v>6</v>
      </c>
      <c r="H107" s="4">
        <v>4.4000000000000004</v>
      </c>
      <c r="I107" s="10">
        <v>21781.59</v>
      </c>
      <c r="J107" s="6">
        <v>9</v>
      </c>
      <c r="K107" s="6">
        <v>0</v>
      </c>
    </row>
    <row r="108" spans="1:11" x14ac:dyDescent="0.2">
      <c r="A108" s="2">
        <v>107</v>
      </c>
      <c r="B108" s="6">
        <v>32</v>
      </c>
      <c r="C108" s="8" t="s">
        <v>3</v>
      </c>
      <c r="D108" s="6">
        <v>27</v>
      </c>
      <c r="E108" s="6">
        <v>2</v>
      </c>
      <c r="F108" s="8" t="s">
        <v>4</v>
      </c>
      <c r="G108" s="8" t="s">
        <v>2</v>
      </c>
      <c r="H108" s="4">
        <v>3.9</v>
      </c>
      <c r="I108" s="10">
        <v>33811.85</v>
      </c>
      <c r="J108" s="6">
        <v>8</v>
      </c>
      <c r="K108" s="6">
        <v>1</v>
      </c>
    </row>
    <row r="109" spans="1:11" x14ac:dyDescent="0.2">
      <c r="A109" s="2">
        <v>108</v>
      </c>
      <c r="B109" s="6">
        <v>25</v>
      </c>
      <c r="C109" s="8" t="s">
        <v>3</v>
      </c>
      <c r="D109" s="6">
        <v>51</v>
      </c>
      <c r="E109" s="6">
        <v>9</v>
      </c>
      <c r="F109" s="8" t="s">
        <v>4</v>
      </c>
      <c r="G109" s="8" t="s">
        <v>6</v>
      </c>
      <c r="H109" s="4">
        <v>3.2</v>
      </c>
      <c r="I109" s="10">
        <v>14131.37</v>
      </c>
      <c r="J109" s="6">
        <v>8</v>
      </c>
      <c r="K109" s="6">
        <v>0</v>
      </c>
    </row>
    <row r="110" spans="1:11" x14ac:dyDescent="0.2">
      <c r="A110" s="2">
        <v>109</v>
      </c>
      <c r="B110" s="6">
        <v>31</v>
      </c>
      <c r="C110" s="8" t="s">
        <v>3</v>
      </c>
      <c r="D110" s="6">
        <v>34</v>
      </c>
      <c r="E110" s="6">
        <v>9</v>
      </c>
      <c r="F110" s="8" t="s">
        <v>1</v>
      </c>
      <c r="G110" s="8" t="s">
        <v>6</v>
      </c>
      <c r="H110" s="4">
        <v>3.4</v>
      </c>
      <c r="I110" s="10">
        <v>15662.52</v>
      </c>
      <c r="J110" s="6">
        <v>4</v>
      </c>
      <c r="K110" s="6">
        <v>0</v>
      </c>
    </row>
    <row r="111" spans="1:11" x14ac:dyDescent="0.2">
      <c r="A111" s="2">
        <v>110</v>
      </c>
      <c r="B111" s="6">
        <v>40</v>
      </c>
      <c r="C111" s="8" t="s">
        <v>0</v>
      </c>
      <c r="D111" s="6">
        <v>52</v>
      </c>
      <c r="E111" s="6">
        <v>18</v>
      </c>
      <c r="F111" s="8" t="s">
        <v>4</v>
      </c>
      <c r="G111" s="8" t="s">
        <v>2</v>
      </c>
      <c r="H111" s="4">
        <v>3</v>
      </c>
      <c r="I111" s="10">
        <v>39554.769999999997</v>
      </c>
      <c r="J111" s="6">
        <v>9</v>
      </c>
      <c r="K111" s="6">
        <v>0</v>
      </c>
    </row>
    <row r="112" spans="1:11" x14ac:dyDescent="0.2">
      <c r="A112" s="2">
        <v>111</v>
      </c>
      <c r="B112" s="6">
        <v>77</v>
      </c>
      <c r="C112" s="8" t="s">
        <v>3</v>
      </c>
      <c r="D112" s="6">
        <v>57</v>
      </c>
      <c r="E112" s="6">
        <v>13</v>
      </c>
      <c r="F112" s="8" t="s">
        <v>4</v>
      </c>
      <c r="G112" s="8" t="s">
        <v>6</v>
      </c>
      <c r="H112" s="4">
        <v>2.2000000000000002</v>
      </c>
      <c r="I112" s="10">
        <v>22597.77</v>
      </c>
      <c r="J112" s="6">
        <v>0</v>
      </c>
      <c r="K112" s="6">
        <v>0</v>
      </c>
    </row>
    <row r="113" spans="1:11" x14ac:dyDescent="0.2">
      <c r="A113" s="2">
        <v>112</v>
      </c>
      <c r="B113" s="6">
        <v>74</v>
      </c>
      <c r="C113" s="8" t="s">
        <v>3</v>
      </c>
      <c r="D113" s="6">
        <v>38</v>
      </c>
      <c r="E113" s="6">
        <v>1</v>
      </c>
      <c r="F113" s="8" t="s">
        <v>1</v>
      </c>
      <c r="G113" s="8" t="s">
        <v>5</v>
      </c>
      <c r="H113" s="4">
        <v>3.3</v>
      </c>
      <c r="I113" s="10">
        <v>40019.83</v>
      </c>
      <c r="J113" s="6">
        <v>0</v>
      </c>
      <c r="K113" s="6">
        <v>0</v>
      </c>
    </row>
    <row r="114" spans="1:11" x14ac:dyDescent="0.2">
      <c r="A114" s="2">
        <v>113</v>
      </c>
      <c r="B114" s="6">
        <v>79</v>
      </c>
      <c r="C114" s="8" t="s">
        <v>0</v>
      </c>
      <c r="D114" s="6">
        <v>33</v>
      </c>
      <c r="E114" s="6">
        <v>0</v>
      </c>
      <c r="F114" s="8" t="s">
        <v>1</v>
      </c>
      <c r="G114" s="8" t="s">
        <v>5</v>
      </c>
      <c r="H114" s="4">
        <v>3.8</v>
      </c>
      <c r="I114" s="10">
        <v>41209.910000000003</v>
      </c>
      <c r="J114" s="6">
        <v>5</v>
      </c>
      <c r="K114" s="6">
        <v>0</v>
      </c>
    </row>
    <row r="115" spans="1:11" x14ac:dyDescent="0.2">
      <c r="A115" s="2">
        <v>114</v>
      </c>
      <c r="B115" s="6">
        <v>57</v>
      </c>
      <c r="C115" s="8" t="s">
        <v>0</v>
      </c>
      <c r="D115" s="6">
        <v>24</v>
      </c>
      <c r="E115" s="6">
        <v>17</v>
      </c>
      <c r="F115" s="8" t="s">
        <v>1</v>
      </c>
      <c r="G115" s="8" t="s">
        <v>5</v>
      </c>
      <c r="H115" s="4">
        <v>4.5</v>
      </c>
      <c r="I115" s="10">
        <v>42949.34</v>
      </c>
      <c r="J115" s="6">
        <v>1</v>
      </c>
      <c r="K115" s="6">
        <v>0</v>
      </c>
    </row>
    <row r="116" spans="1:11" x14ac:dyDescent="0.2">
      <c r="A116" s="2">
        <v>115</v>
      </c>
      <c r="B116" s="6">
        <v>38</v>
      </c>
      <c r="C116" s="8" t="s">
        <v>3</v>
      </c>
      <c r="D116" s="6">
        <v>15</v>
      </c>
      <c r="E116" s="6">
        <v>6</v>
      </c>
      <c r="F116" s="8" t="s">
        <v>4</v>
      </c>
      <c r="G116" s="8" t="s">
        <v>5</v>
      </c>
      <c r="H116" s="4">
        <v>3.5</v>
      </c>
      <c r="I116" s="10">
        <v>45873.440000000002</v>
      </c>
      <c r="J116" s="6">
        <v>7</v>
      </c>
      <c r="K116" s="6">
        <v>0</v>
      </c>
    </row>
    <row r="117" spans="1:11" x14ac:dyDescent="0.2">
      <c r="A117" s="2">
        <v>116</v>
      </c>
      <c r="B117" s="6">
        <v>33</v>
      </c>
      <c r="C117" s="8" t="s">
        <v>3</v>
      </c>
      <c r="D117" s="6">
        <v>30</v>
      </c>
      <c r="E117" s="6">
        <v>7</v>
      </c>
      <c r="F117" s="8" t="s">
        <v>4</v>
      </c>
      <c r="G117" s="8" t="s">
        <v>2</v>
      </c>
      <c r="H117" s="4">
        <v>4</v>
      </c>
      <c r="I117" s="10">
        <v>21833.77</v>
      </c>
      <c r="J117" s="6">
        <v>8</v>
      </c>
      <c r="K117" s="6">
        <v>0</v>
      </c>
    </row>
    <row r="118" spans="1:11" x14ac:dyDescent="0.2">
      <c r="A118" s="2">
        <v>117</v>
      </c>
      <c r="B118" s="6">
        <v>62</v>
      </c>
      <c r="C118" s="8" t="s">
        <v>0</v>
      </c>
      <c r="D118" s="6">
        <v>55</v>
      </c>
      <c r="E118" s="6">
        <v>0</v>
      </c>
      <c r="F118" s="8" t="s">
        <v>4</v>
      </c>
      <c r="G118" s="8" t="s">
        <v>2</v>
      </c>
      <c r="H118" s="4">
        <v>1.6</v>
      </c>
      <c r="I118" s="10">
        <v>16283.91</v>
      </c>
      <c r="J118" s="6">
        <v>3</v>
      </c>
      <c r="K118" s="6">
        <v>1</v>
      </c>
    </row>
    <row r="119" spans="1:11" x14ac:dyDescent="0.2">
      <c r="A119" s="2">
        <v>118</v>
      </c>
      <c r="B119" s="6">
        <v>35</v>
      </c>
      <c r="C119" s="8" t="s">
        <v>0</v>
      </c>
      <c r="D119" s="6">
        <v>42</v>
      </c>
      <c r="E119" s="6">
        <v>2</v>
      </c>
      <c r="F119" s="8" t="s">
        <v>1</v>
      </c>
      <c r="G119" s="8" t="s">
        <v>2</v>
      </c>
      <c r="H119" s="4">
        <v>2.8</v>
      </c>
      <c r="I119" s="10">
        <v>29318.84</v>
      </c>
      <c r="J119" s="6">
        <v>4</v>
      </c>
      <c r="K119" s="6">
        <v>1</v>
      </c>
    </row>
    <row r="120" spans="1:11" x14ac:dyDescent="0.2">
      <c r="A120" s="2">
        <v>119</v>
      </c>
      <c r="B120" s="6">
        <v>64</v>
      </c>
      <c r="C120" s="8" t="s">
        <v>0</v>
      </c>
      <c r="D120" s="6">
        <v>51</v>
      </c>
      <c r="E120" s="6">
        <v>7</v>
      </c>
      <c r="F120" s="8" t="s">
        <v>1</v>
      </c>
      <c r="G120" s="8" t="s">
        <v>5</v>
      </c>
      <c r="H120" s="4">
        <v>1</v>
      </c>
      <c r="I120" s="10">
        <v>18873.03</v>
      </c>
      <c r="J120" s="6">
        <v>7</v>
      </c>
      <c r="K120" s="6">
        <v>1</v>
      </c>
    </row>
    <row r="121" spans="1:11" x14ac:dyDescent="0.2">
      <c r="A121" s="2">
        <v>120</v>
      </c>
      <c r="B121" s="6">
        <v>70</v>
      </c>
      <c r="C121" s="8" t="s">
        <v>0</v>
      </c>
      <c r="D121" s="6">
        <v>17</v>
      </c>
      <c r="E121" s="6">
        <v>14</v>
      </c>
      <c r="F121" s="8" t="s">
        <v>4</v>
      </c>
      <c r="G121" s="8" t="s">
        <v>5</v>
      </c>
      <c r="H121" s="4">
        <v>2</v>
      </c>
      <c r="I121" s="10">
        <v>30253.17</v>
      </c>
      <c r="J121" s="6">
        <v>2</v>
      </c>
      <c r="K121" s="6">
        <v>0</v>
      </c>
    </row>
    <row r="122" spans="1:11" x14ac:dyDescent="0.2">
      <c r="A122" s="2">
        <v>121</v>
      </c>
      <c r="B122" s="6">
        <v>41</v>
      </c>
      <c r="C122" s="8" t="s">
        <v>0</v>
      </c>
      <c r="D122" s="6">
        <v>5</v>
      </c>
      <c r="E122" s="6">
        <v>4</v>
      </c>
      <c r="F122" s="8" t="s">
        <v>1</v>
      </c>
      <c r="G122" s="8" t="s">
        <v>6</v>
      </c>
      <c r="H122" s="4">
        <v>3.9</v>
      </c>
      <c r="I122" s="10">
        <v>35426.5</v>
      </c>
      <c r="J122" s="6">
        <v>4</v>
      </c>
      <c r="K122" s="6">
        <v>0</v>
      </c>
    </row>
    <row r="123" spans="1:11" x14ac:dyDescent="0.2">
      <c r="A123" s="2">
        <v>122</v>
      </c>
      <c r="B123" s="6">
        <v>43</v>
      </c>
      <c r="C123" s="8" t="s">
        <v>3</v>
      </c>
      <c r="D123" s="6">
        <v>29</v>
      </c>
      <c r="E123" s="6">
        <v>2</v>
      </c>
      <c r="F123" s="8" t="s">
        <v>1</v>
      </c>
      <c r="G123" s="8" t="s">
        <v>6</v>
      </c>
      <c r="H123" s="4">
        <v>5</v>
      </c>
      <c r="I123" s="10">
        <v>34576.050000000003</v>
      </c>
      <c r="J123" s="6">
        <v>2</v>
      </c>
      <c r="K123" s="6">
        <v>1</v>
      </c>
    </row>
    <row r="124" spans="1:11" x14ac:dyDescent="0.2">
      <c r="A124" s="2">
        <v>123</v>
      </c>
      <c r="B124" s="6">
        <v>42</v>
      </c>
      <c r="C124" s="8" t="s">
        <v>0</v>
      </c>
      <c r="D124" s="6">
        <v>4</v>
      </c>
      <c r="E124" s="6">
        <v>18</v>
      </c>
      <c r="F124" s="8" t="s">
        <v>1</v>
      </c>
      <c r="G124" s="8" t="s">
        <v>5</v>
      </c>
      <c r="H124" s="4">
        <v>1.4</v>
      </c>
      <c r="I124" s="10">
        <v>19040.37</v>
      </c>
      <c r="J124" s="6">
        <v>9</v>
      </c>
      <c r="K124" s="6">
        <v>0</v>
      </c>
    </row>
    <row r="125" spans="1:11" x14ac:dyDescent="0.2">
      <c r="A125" s="2">
        <v>124</v>
      </c>
      <c r="B125" s="6">
        <v>77</v>
      </c>
      <c r="C125" s="8" t="s">
        <v>3</v>
      </c>
      <c r="D125" s="6">
        <v>10</v>
      </c>
      <c r="E125" s="6">
        <v>0</v>
      </c>
      <c r="F125" s="8" t="s">
        <v>4</v>
      </c>
      <c r="G125" s="8" t="s">
        <v>5</v>
      </c>
      <c r="H125" s="4">
        <v>2.6</v>
      </c>
      <c r="I125" s="10">
        <v>8759.58</v>
      </c>
      <c r="J125" s="6">
        <v>2</v>
      </c>
      <c r="K125" s="6">
        <v>0</v>
      </c>
    </row>
    <row r="126" spans="1:11" x14ac:dyDescent="0.2">
      <c r="A126" s="2">
        <v>125</v>
      </c>
      <c r="B126" s="6">
        <v>77</v>
      </c>
      <c r="C126" s="8" t="s">
        <v>3</v>
      </c>
      <c r="D126" s="6">
        <v>56</v>
      </c>
      <c r="E126" s="6">
        <v>14</v>
      </c>
      <c r="F126" s="8" t="s">
        <v>1</v>
      </c>
      <c r="G126" s="8" t="s">
        <v>5</v>
      </c>
      <c r="H126" s="4">
        <v>4.2</v>
      </c>
      <c r="I126" s="10">
        <v>21811.200000000001</v>
      </c>
      <c r="J126" s="6">
        <v>2</v>
      </c>
      <c r="K126" s="6">
        <v>1</v>
      </c>
    </row>
    <row r="127" spans="1:11" x14ac:dyDescent="0.2">
      <c r="A127" s="2">
        <v>126</v>
      </c>
      <c r="B127" s="6">
        <v>77</v>
      </c>
      <c r="C127" s="8" t="s">
        <v>3</v>
      </c>
      <c r="D127" s="6">
        <v>17</v>
      </c>
      <c r="E127" s="6">
        <v>7</v>
      </c>
      <c r="F127" s="8" t="s">
        <v>1</v>
      </c>
      <c r="G127" s="8" t="s">
        <v>5</v>
      </c>
      <c r="H127" s="4">
        <v>1.8</v>
      </c>
      <c r="I127" s="10">
        <v>7558.41</v>
      </c>
      <c r="J127" s="6">
        <v>6</v>
      </c>
      <c r="K127" s="6">
        <v>1</v>
      </c>
    </row>
    <row r="128" spans="1:11" x14ac:dyDescent="0.2">
      <c r="A128" s="2">
        <v>127</v>
      </c>
      <c r="B128" s="6">
        <v>62</v>
      </c>
      <c r="C128" s="8" t="s">
        <v>0</v>
      </c>
      <c r="D128" s="6">
        <v>10</v>
      </c>
      <c r="E128" s="6">
        <v>1</v>
      </c>
      <c r="F128" s="8" t="s">
        <v>4</v>
      </c>
      <c r="G128" s="8" t="s">
        <v>6</v>
      </c>
      <c r="H128" s="4">
        <v>3.2</v>
      </c>
      <c r="I128" s="10">
        <v>44559.8</v>
      </c>
      <c r="J128" s="6">
        <v>6</v>
      </c>
      <c r="K128" s="6">
        <v>0</v>
      </c>
    </row>
    <row r="129" spans="1:11" x14ac:dyDescent="0.2">
      <c r="A129" s="2">
        <v>128</v>
      </c>
      <c r="B129" s="6">
        <v>58</v>
      </c>
      <c r="C129" s="8" t="s">
        <v>3</v>
      </c>
      <c r="D129" s="6">
        <v>17</v>
      </c>
      <c r="E129" s="6">
        <v>2</v>
      </c>
      <c r="F129" s="8" t="s">
        <v>4</v>
      </c>
      <c r="G129" s="8" t="s">
        <v>5</v>
      </c>
      <c r="H129" s="4">
        <v>3.9</v>
      </c>
      <c r="I129" s="10">
        <v>17620.93</v>
      </c>
      <c r="J129" s="6">
        <v>6</v>
      </c>
      <c r="K129" s="6">
        <v>0</v>
      </c>
    </row>
    <row r="130" spans="1:11" x14ac:dyDescent="0.2">
      <c r="A130" s="2">
        <v>129</v>
      </c>
      <c r="B130" s="6">
        <v>46</v>
      </c>
      <c r="C130" s="8" t="s">
        <v>3</v>
      </c>
      <c r="D130" s="6">
        <v>20</v>
      </c>
      <c r="E130" s="6">
        <v>13</v>
      </c>
      <c r="F130" s="8" t="s">
        <v>1</v>
      </c>
      <c r="G130" s="8" t="s">
        <v>6</v>
      </c>
      <c r="H130" s="4">
        <v>3.5</v>
      </c>
      <c r="I130" s="10">
        <v>8145.76</v>
      </c>
      <c r="J130" s="6">
        <v>9</v>
      </c>
      <c r="K130" s="6">
        <v>0</v>
      </c>
    </row>
    <row r="131" spans="1:11" x14ac:dyDescent="0.2">
      <c r="A131" s="2">
        <v>130</v>
      </c>
      <c r="B131" s="6">
        <v>32</v>
      </c>
      <c r="C131" s="8" t="s">
        <v>0</v>
      </c>
      <c r="D131" s="6">
        <v>24</v>
      </c>
      <c r="E131" s="6">
        <v>13</v>
      </c>
      <c r="F131" s="8" t="s">
        <v>1</v>
      </c>
      <c r="G131" s="8" t="s">
        <v>5</v>
      </c>
      <c r="H131" s="4">
        <v>1.8</v>
      </c>
      <c r="I131" s="10">
        <v>1759.66</v>
      </c>
      <c r="J131" s="6">
        <v>7</v>
      </c>
      <c r="K131" s="6">
        <v>1</v>
      </c>
    </row>
    <row r="132" spans="1:11" x14ac:dyDescent="0.2">
      <c r="A132" s="2">
        <v>131</v>
      </c>
      <c r="B132" s="6">
        <v>62</v>
      </c>
      <c r="C132" s="8" t="s">
        <v>3</v>
      </c>
      <c r="D132" s="6">
        <v>5</v>
      </c>
      <c r="E132" s="6">
        <v>10</v>
      </c>
      <c r="F132" s="8" t="s">
        <v>4</v>
      </c>
      <c r="G132" s="8" t="s">
        <v>5</v>
      </c>
      <c r="H132" s="4">
        <v>2.4</v>
      </c>
      <c r="I132" s="10">
        <v>32468.21</v>
      </c>
      <c r="J132" s="6">
        <v>4</v>
      </c>
      <c r="K132" s="6">
        <v>1</v>
      </c>
    </row>
    <row r="133" spans="1:11" x14ac:dyDescent="0.2">
      <c r="A133" s="2">
        <v>132</v>
      </c>
      <c r="B133" s="6">
        <v>18</v>
      </c>
      <c r="C133" s="8" t="s">
        <v>3</v>
      </c>
      <c r="D133" s="6">
        <v>34</v>
      </c>
      <c r="E133" s="6">
        <v>15</v>
      </c>
      <c r="F133" s="8" t="s">
        <v>4</v>
      </c>
      <c r="G133" s="8" t="s">
        <v>5</v>
      </c>
      <c r="H133" s="4">
        <v>4.0999999999999996</v>
      </c>
      <c r="I133" s="10">
        <v>32026.66</v>
      </c>
      <c r="J133" s="6">
        <v>4</v>
      </c>
      <c r="K133" s="6">
        <v>0</v>
      </c>
    </row>
    <row r="134" spans="1:11" x14ac:dyDescent="0.2">
      <c r="A134" s="2">
        <v>133</v>
      </c>
      <c r="B134" s="6">
        <v>42</v>
      </c>
      <c r="C134" s="8" t="s">
        <v>0</v>
      </c>
      <c r="D134" s="6">
        <v>6</v>
      </c>
      <c r="E134" s="6">
        <v>3</v>
      </c>
      <c r="F134" s="8" t="s">
        <v>1</v>
      </c>
      <c r="G134" s="8" t="s">
        <v>6</v>
      </c>
      <c r="H134" s="4">
        <v>3.2</v>
      </c>
      <c r="I134" s="10">
        <v>17359.91</v>
      </c>
      <c r="J134" s="6">
        <v>3</v>
      </c>
      <c r="K134" s="6">
        <v>0</v>
      </c>
    </row>
    <row r="135" spans="1:11" x14ac:dyDescent="0.2">
      <c r="A135" s="2">
        <v>134</v>
      </c>
      <c r="B135" s="6">
        <v>24</v>
      </c>
      <c r="C135" s="8" t="s">
        <v>3</v>
      </c>
      <c r="D135" s="6">
        <v>53</v>
      </c>
      <c r="E135" s="6">
        <v>19</v>
      </c>
      <c r="F135" s="8" t="s">
        <v>1</v>
      </c>
      <c r="G135" s="8" t="s">
        <v>6</v>
      </c>
      <c r="H135" s="4">
        <v>1</v>
      </c>
      <c r="I135" s="10">
        <v>4049.74</v>
      </c>
      <c r="J135" s="6">
        <v>6</v>
      </c>
      <c r="K135" s="6">
        <v>1</v>
      </c>
    </row>
    <row r="136" spans="1:11" x14ac:dyDescent="0.2">
      <c r="A136" s="2">
        <v>135</v>
      </c>
      <c r="B136" s="6">
        <v>26</v>
      </c>
      <c r="C136" s="8" t="s">
        <v>3</v>
      </c>
      <c r="D136" s="6">
        <v>2</v>
      </c>
      <c r="E136" s="6">
        <v>4</v>
      </c>
      <c r="F136" s="8" t="s">
        <v>1</v>
      </c>
      <c r="G136" s="8" t="s">
        <v>2</v>
      </c>
      <c r="H136" s="4">
        <v>4</v>
      </c>
      <c r="I136" s="10">
        <v>20776.63</v>
      </c>
      <c r="J136" s="6">
        <v>9</v>
      </c>
      <c r="K136" s="6">
        <v>0</v>
      </c>
    </row>
    <row r="137" spans="1:11" x14ac:dyDescent="0.2">
      <c r="A137" s="2">
        <v>136</v>
      </c>
      <c r="B137" s="6">
        <v>41</v>
      </c>
      <c r="C137" s="8" t="s">
        <v>3</v>
      </c>
      <c r="D137" s="6">
        <v>13</v>
      </c>
      <c r="E137" s="6">
        <v>13</v>
      </c>
      <c r="F137" s="8" t="s">
        <v>1</v>
      </c>
      <c r="G137" s="8" t="s">
        <v>5</v>
      </c>
      <c r="H137" s="4">
        <v>1.1000000000000001</v>
      </c>
      <c r="I137" s="10">
        <v>15905.27</v>
      </c>
      <c r="J137" s="6">
        <v>3</v>
      </c>
      <c r="K137" s="6">
        <v>0</v>
      </c>
    </row>
    <row r="138" spans="1:11" x14ac:dyDescent="0.2">
      <c r="A138" s="2">
        <v>137</v>
      </c>
      <c r="B138" s="6">
        <v>18</v>
      </c>
      <c r="C138" s="8" t="s">
        <v>0</v>
      </c>
      <c r="D138" s="6">
        <v>43</v>
      </c>
      <c r="E138" s="6">
        <v>15</v>
      </c>
      <c r="F138" s="8" t="s">
        <v>4</v>
      </c>
      <c r="G138" s="8" t="s">
        <v>2</v>
      </c>
      <c r="H138" s="4">
        <v>4</v>
      </c>
      <c r="I138" s="10">
        <v>34017.47</v>
      </c>
      <c r="J138" s="6">
        <v>1</v>
      </c>
      <c r="K138" s="6">
        <v>1</v>
      </c>
    </row>
    <row r="139" spans="1:11" x14ac:dyDescent="0.2">
      <c r="A139" s="2">
        <v>138</v>
      </c>
      <c r="B139" s="6">
        <v>61</v>
      </c>
      <c r="C139" s="8" t="s">
        <v>0</v>
      </c>
      <c r="D139" s="6">
        <v>43</v>
      </c>
      <c r="E139" s="6">
        <v>17</v>
      </c>
      <c r="F139" s="8" t="s">
        <v>1</v>
      </c>
      <c r="G139" s="8" t="s">
        <v>2</v>
      </c>
      <c r="H139" s="4">
        <v>1.8</v>
      </c>
      <c r="I139" s="10">
        <v>30486.07</v>
      </c>
      <c r="J139" s="6">
        <v>3</v>
      </c>
      <c r="K139" s="6">
        <v>0</v>
      </c>
    </row>
    <row r="140" spans="1:11" x14ac:dyDescent="0.2">
      <c r="A140" s="2">
        <v>139</v>
      </c>
      <c r="B140" s="6">
        <v>25</v>
      </c>
      <c r="C140" s="8" t="s">
        <v>0</v>
      </c>
      <c r="D140" s="6">
        <v>48</v>
      </c>
      <c r="E140" s="6">
        <v>6</v>
      </c>
      <c r="F140" s="8" t="s">
        <v>1</v>
      </c>
      <c r="G140" s="8" t="s">
        <v>6</v>
      </c>
      <c r="H140" s="4">
        <v>4.8</v>
      </c>
      <c r="I140" s="10">
        <v>18547.39</v>
      </c>
      <c r="J140" s="6">
        <v>7</v>
      </c>
      <c r="K140" s="6">
        <v>0</v>
      </c>
    </row>
    <row r="141" spans="1:11" x14ac:dyDescent="0.2">
      <c r="A141" s="2">
        <v>140</v>
      </c>
      <c r="B141" s="6">
        <v>41</v>
      </c>
      <c r="C141" s="8" t="s">
        <v>3</v>
      </c>
      <c r="D141" s="6">
        <v>11</v>
      </c>
      <c r="E141" s="6">
        <v>9</v>
      </c>
      <c r="F141" s="8" t="s">
        <v>4</v>
      </c>
      <c r="G141" s="8" t="s">
        <v>6</v>
      </c>
      <c r="H141" s="4">
        <v>2.5</v>
      </c>
      <c r="I141" s="10">
        <v>11285.68</v>
      </c>
      <c r="J141" s="6">
        <v>8</v>
      </c>
      <c r="K141" s="6">
        <v>0</v>
      </c>
    </row>
    <row r="142" spans="1:11" x14ac:dyDescent="0.2">
      <c r="A142" s="2">
        <v>141</v>
      </c>
      <c r="B142" s="6">
        <v>28</v>
      </c>
      <c r="C142" s="8" t="s">
        <v>3</v>
      </c>
      <c r="D142" s="6">
        <v>51</v>
      </c>
      <c r="E142" s="6">
        <v>6</v>
      </c>
      <c r="F142" s="8" t="s">
        <v>1</v>
      </c>
      <c r="G142" s="8" t="s">
        <v>2</v>
      </c>
      <c r="H142" s="4">
        <v>2.2999999999999998</v>
      </c>
      <c r="I142" s="10">
        <v>49407.78</v>
      </c>
      <c r="J142" s="6">
        <v>2</v>
      </c>
      <c r="K142" s="6">
        <v>0</v>
      </c>
    </row>
    <row r="143" spans="1:11" x14ac:dyDescent="0.2">
      <c r="A143" s="2">
        <v>142</v>
      </c>
      <c r="B143" s="6">
        <v>68</v>
      </c>
      <c r="C143" s="8" t="s">
        <v>0</v>
      </c>
      <c r="D143" s="6">
        <v>47</v>
      </c>
      <c r="E143" s="6">
        <v>0</v>
      </c>
      <c r="F143" s="8" t="s">
        <v>4</v>
      </c>
      <c r="G143" s="8" t="s">
        <v>5</v>
      </c>
      <c r="H143" s="4">
        <v>1.6</v>
      </c>
      <c r="I143" s="10">
        <v>22973.08</v>
      </c>
      <c r="J143" s="6">
        <v>6</v>
      </c>
      <c r="K143" s="6">
        <v>1</v>
      </c>
    </row>
    <row r="144" spans="1:11" x14ac:dyDescent="0.2">
      <c r="A144" s="2">
        <v>143</v>
      </c>
      <c r="B144" s="6">
        <v>34</v>
      </c>
      <c r="C144" s="8" t="s">
        <v>3</v>
      </c>
      <c r="D144" s="6">
        <v>57</v>
      </c>
      <c r="E144" s="6">
        <v>18</v>
      </c>
      <c r="F144" s="8" t="s">
        <v>1</v>
      </c>
      <c r="G144" s="8" t="s">
        <v>6</v>
      </c>
      <c r="H144" s="4">
        <v>2.2000000000000002</v>
      </c>
      <c r="I144" s="10">
        <v>34569.57</v>
      </c>
      <c r="J144" s="6">
        <v>8</v>
      </c>
      <c r="K144" s="6">
        <v>0</v>
      </c>
    </row>
    <row r="145" spans="1:11" x14ac:dyDescent="0.2">
      <c r="A145" s="2">
        <v>144</v>
      </c>
      <c r="B145" s="6">
        <v>25</v>
      </c>
      <c r="C145" s="8" t="s">
        <v>3</v>
      </c>
      <c r="D145" s="6">
        <v>23</v>
      </c>
      <c r="E145" s="6">
        <v>15</v>
      </c>
      <c r="F145" s="8" t="s">
        <v>1</v>
      </c>
      <c r="G145" s="8" t="s">
        <v>5</v>
      </c>
      <c r="H145" s="4">
        <v>4.5</v>
      </c>
      <c r="I145" s="10">
        <v>7457.37</v>
      </c>
      <c r="J145" s="6">
        <v>3</v>
      </c>
      <c r="K145" s="6">
        <v>1</v>
      </c>
    </row>
    <row r="146" spans="1:11" x14ac:dyDescent="0.2">
      <c r="A146" s="2">
        <v>145</v>
      </c>
      <c r="B146" s="6">
        <v>52</v>
      </c>
      <c r="C146" s="8" t="s">
        <v>0</v>
      </c>
      <c r="D146" s="6">
        <v>55</v>
      </c>
      <c r="E146" s="6">
        <v>18</v>
      </c>
      <c r="F146" s="8" t="s">
        <v>4</v>
      </c>
      <c r="G146" s="8" t="s">
        <v>5</v>
      </c>
      <c r="H146" s="4">
        <v>5</v>
      </c>
      <c r="I146" s="10">
        <v>24536.69</v>
      </c>
      <c r="J146" s="6">
        <v>9</v>
      </c>
      <c r="K146" s="6">
        <v>0</v>
      </c>
    </row>
    <row r="147" spans="1:11" x14ac:dyDescent="0.2">
      <c r="A147" s="2">
        <v>146</v>
      </c>
      <c r="B147" s="6">
        <v>52</v>
      </c>
      <c r="C147" s="8" t="s">
        <v>0</v>
      </c>
      <c r="D147" s="6">
        <v>16</v>
      </c>
      <c r="E147" s="6">
        <v>3</v>
      </c>
      <c r="F147" s="8" t="s">
        <v>4</v>
      </c>
      <c r="G147" s="8" t="s">
        <v>2</v>
      </c>
      <c r="H147" s="4">
        <v>2.5</v>
      </c>
      <c r="I147" s="10">
        <v>1863.07</v>
      </c>
      <c r="J147" s="6">
        <v>2</v>
      </c>
      <c r="K147" s="6">
        <v>0</v>
      </c>
    </row>
    <row r="148" spans="1:11" x14ac:dyDescent="0.2">
      <c r="A148" s="2">
        <v>147</v>
      </c>
      <c r="B148" s="6">
        <v>50</v>
      </c>
      <c r="C148" s="8" t="s">
        <v>3</v>
      </c>
      <c r="D148" s="6">
        <v>31</v>
      </c>
      <c r="E148" s="6">
        <v>17</v>
      </c>
      <c r="F148" s="8" t="s">
        <v>1</v>
      </c>
      <c r="G148" s="8" t="s">
        <v>2</v>
      </c>
      <c r="H148" s="4">
        <v>2.8</v>
      </c>
      <c r="I148" s="10">
        <v>25520.03</v>
      </c>
      <c r="J148" s="6">
        <v>4</v>
      </c>
      <c r="K148" s="6">
        <v>0</v>
      </c>
    </row>
    <row r="149" spans="1:11" x14ac:dyDescent="0.2">
      <c r="A149" s="2">
        <v>148</v>
      </c>
      <c r="B149" s="6">
        <v>76</v>
      </c>
      <c r="C149" s="8" t="s">
        <v>3</v>
      </c>
      <c r="D149" s="6">
        <v>11</v>
      </c>
      <c r="E149" s="6">
        <v>1</v>
      </c>
      <c r="F149" s="8" t="s">
        <v>1</v>
      </c>
      <c r="G149" s="8" t="s">
        <v>2</v>
      </c>
      <c r="H149" s="4">
        <v>3.9</v>
      </c>
      <c r="I149" s="10">
        <v>48218.86</v>
      </c>
      <c r="J149" s="6">
        <v>0</v>
      </c>
      <c r="K149" s="6">
        <v>0</v>
      </c>
    </row>
    <row r="150" spans="1:11" x14ac:dyDescent="0.2">
      <c r="A150" s="2">
        <v>149</v>
      </c>
      <c r="B150" s="6">
        <v>22</v>
      </c>
      <c r="C150" s="8" t="s">
        <v>3</v>
      </c>
      <c r="D150" s="6">
        <v>54</v>
      </c>
      <c r="E150" s="6">
        <v>0</v>
      </c>
      <c r="F150" s="8" t="s">
        <v>1</v>
      </c>
      <c r="G150" s="8" t="s">
        <v>2</v>
      </c>
      <c r="H150" s="4">
        <v>4.5</v>
      </c>
      <c r="I150" s="10">
        <v>19518.23</v>
      </c>
      <c r="J150" s="6">
        <v>2</v>
      </c>
      <c r="K150" s="6">
        <v>0</v>
      </c>
    </row>
    <row r="151" spans="1:11" x14ac:dyDescent="0.2">
      <c r="A151" s="2">
        <v>150</v>
      </c>
      <c r="B151" s="6">
        <v>59</v>
      </c>
      <c r="C151" s="8" t="s">
        <v>0</v>
      </c>
      <c r="D151" s="6">
        <v>16</v>
      </c>
      <c r="E151" s="6">
        <v>14</v>
      </c>
      <c r="F151" s="8" t="s">
        <v>4</v>
      </c>
      <c r="G151" s="8" t="s">
        <v>6</v>
      </c>
      <c r="H151" s="4">
        <v>3.4</v>
      </c>
      <c r="I151" s="10">
        <v>2430.3000000000002</v>
      </c>
      <c r="J151" s="6">
        <v>7</v>
      </c>
      <c r="K151" s="6">
        <v>0</v>
      </c>
    </row>
    <row r="152" spans="1:11" x14ac:dyDescent="0.2">
      <c r="A152" s="2">
        <v>151</v>
      </c>
      <c r="B152" s="6">
        <v>56</v>
      </c>
      <c r="C152" s="8" t="s">
        <v>0</v>
      </c>
      <c r="D152" s="6">
        <v>8</v>
      </c>
      <c r="E152" s="6">
        <v>4</v>
      </c>
      <c r="F152" s="8" t="s">
        <v>1</v>
      </c>
      <c r="G152" s="8" t="s">
        <v>6</v>
      </c>
      <c r="H152" s="4">
        <v>2.6</v>
      </c>
      <c r="I152" s="10">
        <v>2032.31</v>
      </c>
      <c r="J152" s="6">
        <v>7</v>
      </c>
      <c r="K152" s="6">
        <v>0</v>
      </c>
    </row>
    <row r="153" spans="1:11" x14ac:dyDescent="0.2">
      <c r="A153" s="2">
        <v>152</v>
      </c>
      <c r="B153" s="6">
        <v>75</v>
      </c>
      <c r="C153" s="8" t="s">
        <v>0</v>
      </c>
      <c r="D153" s="6">
        <v>4</v>
      </c>
      <c r="E153" s="6">
        <v>19</v>
      </c>
      <c r="F153" s="8" t="s">
        <v>4</v>
      </c>
      <c r="G153" s="8" t="s">
        <v>2</v>
      </c>
      <c r="H153" s="4">
        <v>2.7</v>
      </c>
      <c r="I153" s="10">
        <v>19705.34</v>
      </c>
      <c r="J153" s="6">
        <v>3</v>
      </c>
      <c r="K153" s="6">
        <v>0</v>
      </c>
    </row>
    <row r="154" spans="1:11" x14ac:dyDescent="0.2">
      <c r="A154" s="2">
        <v>153</v>
      </c>
      <c r="B154" s="6">
        <v>58</v>
      </c>
      <c r="C154" s="8" t="s">
        <v>0</v>
      </c>
      <c r="D154" s="6">
        <v>40</v>
      </c>
      <c r="E154" s="6">
        <v>10</v>
      </c>
      <c r="F154" s="8" t="s">
        <v>4</v>
      </c>
      <c r="G154" s="8" t="s">
        <v>6</v>
      </c>
      <c r="H154" s="4">
        <v>3.8</v>
      </c>
      <c r="I154" s="10">
        <v>8421.23</v>
      </c>
      <c r="J154" s="6">
        <v>1</v>
      </c>
      <c r="K154" s="6">
        <v>0</v>
      </c>
    </row>
    <row r="155" spans="1:11" x14ac:dyDescent="0.2">
      <c r="A155" s="2">
        <v>154</v>
      </c>
      <c r="B155" s="6">
        <v>45</v>
      </c>
      <c r="C155" s="8" t="s">
        <v>3</v>
      </c>
      <c r="D155" s="6">
        <v>4</v>
      </c>
      <c r="E155" s="6">
        <v>9</v>
      </c>
      <c r="F155" s="8" t="s">
        <v>1</v>
      </c>
      <c r="G155" s="8" t="s">
        <v>2</v>
      </c>
      <c r="H155" s="4">
        <v>1</v>
      </c>
      <c r="I155" s="10">
        <v>1655.93</v>
      </c>
      <c r="J155" s="6">
        <v>7</v>
      </c>
      <c r="K155" s="6">
        <v>0</v>
      </c>
    </row>
    <row r="156" spans="1:11" x14ac:dyDescent="0.2">
      <c r="A156" s="2">
        <v>155</v>
      </c>
      <c r="B156" s="6">
        <v>24</v>
      </c>
      <c r="C156" s="8" t="s">
        <v>0</v>
      </c>
      <c r="D156" s="6">
        <v>56</v>
      </c>
      <c r="E156" s="6">
        <v>1</v>
      </c>
      <c r="F156" s="8" t="s">
        <v>4</v>
      </c>
      <c r="G156" s="8" t="s">
        <v>5</v>
      </c>
      <c r="H156" s="4">
        <v>3.5</v>
      </c>
      <c r="I156" s="10">
        <v>37932.57</v>
      </c>
      <c r="J156" s="6">
        <v>7</v>
      </c>
      <c r="K156" s="6">
        <v>0</v>
      </c>
    </row>
    <row r="157" spans="1:11" x14ac:dyDescent="0.2">
      <c r="A157" s="2">
        <v>156</v>
      </c>
      <c r="B157" s="6">
        <v>26</v>
      </c>
      <c r="C157" s="8" t="s">
        <v>0</v>
      </c>
      <c r="D157" s="6">
        <v>25</v>
      </c>
      <c r="E157" s="6">
        <v>2</v>
      </c>
      <c r="F157" s="8" t="s">
        <v>1</v>
      </c>
      <c r="G157" s="8" t="s">
        <v>5</v>
      </c>
      <c r="H157" s="4">
        <v>2.4</v>
      </c>
      <c r="I157" s="10">
        <v>23196.89</v>
      </c>
      <c r="J157" s="6">
        <v>9</v>
      </c>
      <c r="K157" s="6">
        <v>0</v>
      </c>
    </row>
    <row r="158" spans="1:11" x14ac:dyDescent="0.2">
      <c r="A158" s="2">
        <v>157</v>
      </c>
      <c r="B158" s="6">
        <v>25</v>
      </c>
      <c r="C158" s="8" t="s">
        <v>0</v>
      </c>
      <c r="D158" s="6">
        <v>3</v>
      </c>
      <c r="E158" s="6">
        <v>11</v>
      </c>
      <c r="F158" s="8" t="s">
        <v>1</v>
      </c>
      <c r="G158" s="8" t="s">
        <v>5</v>
      </c>
      <c r="H158" s="4">
        <v>4.2</v>
      </c>
      <c r="I158" s="10">
        <v>14817.62</v>
      </c>
      <c r="J158" s="6">
        <v>3</v>
      </c>
      <c r="K158" s="6">
        <v>0</v>
      </c>
    </row>
    <row r="159" spans="1:11" x14ac:dyDescent="0.2">
      <c r="A159" s="2">
        <v>158</v>
      </c>
      <c r="B159" s="6">
        <v>29</v>
      </c>
      <c r="C159" s="8" t="s">
        <v>0</v>
      </c>
      <c r="D159" s="6">
        <v>32</v>
      </c>
      <c r="E159" s="6">
        <v>19</v>
      </c>
      <c r="F159" s="8" t="s">
        <v>1</v>
      </c>
      <c r="G159" s="8" t="s">
        <v>2</v>
      </c>
      <c r="H159" s="4">
        <v>1.4</v>
      </c>
      <c r="I159" s="10">
        <v>45054.12</v>
      </c>
      <c r="J159" s="6">
        <v>2</v>
      </c>
      <c r="K159" s="6">
        <v>0</v>
      </c>
    </row>
    <row r="160" spans="1:11" x14ac:dyDescent="0.2">
      <c r="A160" s="2">
        <v>159</v>
      </c>
      <c r="B160" s="6">
        <v>51</v>
      </c>
      <c r="C160" s="8" t="s">
        <v>0</v>
      </c>
      <c r="D160" s="6">
        <v>3</v>
      </c>
      <c r="E160" s="6">
        <v>4</v>
      </c>
      <c r="F160" s="8" t="s">
        <v>1</v>
      </c>
      <c r="G160" s="8" t="s">
        <v>5</v>
      </c>
      <c r="H160" s="4">
        <v>3.4</v>
      </c>
      <c r="I160" s="10">
        <v>6248.88</v>
      </c>
      <c r="J160" s="6">
        <v>1</v>
      </c>
      <c r="K160" s="6">
        <v>0</v>
      </c>
    </row>
    <row r="161" spans="1:11" x14ac:dyDescent="0.2">
      <c r="A161" s="2">
        <v>160</v>
      </c>
      <c r="B161" s="6">
        <v>50</v>
      </c>
      <c r="C161" s="8" t="s">
        <v>3</v>
      </c>
      <c r="D161" s="6">
        <v>27</v>
      </c>
      <c r="E161" s="6">
        <v>4</v>
      </c>
      <c r="F161" s="8" t="s">
        <v>1</v>
      </c>
      <c r="G161" s="8" t="s">
        <v>6</v>
      </c>
      <c r="H161" s="4">
        <v>2.9</v>
      </c>
      <c r="I161" s="10">
        <v>47817.98</v>
      </c>
      <c r="J161" s="6">
        <v>8</v>
      </c>
      <c r="K161" s="6">
        <v>0</v>
      </c>
    </row>
    <row r="162" spans="1:11" x14ac:dyDescent="0.2">
      <c r="A162" s="2">
        <v>161</v>
      </c>
      <c r="B162" s="6">
        <v>65</v>
      </c>
      <c r="C162" s="8" t="s">
        <v>3</v>
      </c>
      <c r="D162" s="6">
        <v>29</v>
      </c>
      <c r="E162" s="6">
        <v>5</v>
      </c>
      <c r="F162" s="8" t="s">
        <v>4</v>
      </c>
      <c r="G162" s="8" t="s">
        <v>5</v>
      </c>
      <c r="H162" s="4">
        <v>3.6</v>
      </c>
      <c r="I162" s="10">
        <v>16041.35</v>
      </c>
      <c r="J162" s="6">
        <v>0</v>
      </c>
      <c r="K162" s="6">
        <v>1</v>
      </c>
    </row>
    <row r="163" spans="1:11" x14ac:dyDescent="0.2">
      <c r="A163" s="2">
        <v>162</v>
      </c>
      <c r="B163" s="6">
        <v>72</v>
      </c>
      <c r="C163" s="8" t="s">
        <v>0</v>
      </c>
      <c r="D163" s="6">
        <v>32</v>
      </c>
      <c r="E163" s="6">
        <v>8</v>
      </c>
      <c r="F163" s="8" t="s">
        <v>4</v>
      </c>
      <c r="G163" s="8" t="s">
        <v>5</v>
      </c>
      <c r="H163" s="4">
        <v>1.3</v>
      </c>
      <c r="I163" s="10">
        <v>44475.98</v>
      </c>
      <c r="J163" s="6">
        <v>6</v>
      </c>
      <c r="K163" s="6">
        <v>1</v>
      </c>
    </row>
    <row r="164" spans="1:11" x14ac:dyDescent="0.2">
      <c r="A164" s="2">
        <v>163</v>
      </c>
      <c r="B164" s="6">
        <v>40</v>
      </c>
      <c r="C164" s="8" t="s">
        <v>3</v>
      </c>
      <c r="D164" s="6">
        <v>50</v>
      </c>
      <c r="E164" s="6">
        <v>1</v>
      </c>
      <c r="F164" s="8" t="s">
        <v>1</v>
      </c>
      <c r="G164" s="8" t="s">
        <v>5</v>
      </c>
      <c r="H164" s="4">
        <v>3.3</v>
      </c>
      <c r="I164" s="10">
        <v>30345.67</v>
      </c>
      <c r="J164" s="6">
        <v>4</v>
      </c>
      <c r="K164" s="6">
        <v>0</v>
      </c>
    </row>
    <row r="165" spans="1:11" x14ac:dyDescent="0.2">
      <c r="A165" s="2">
        <v>164</v>
      </c>
      <c r="B165" s="6">
        <v>79</v>
      </c>
      <c r="C165" s="8" t="s">
        <v>0</v>
      </c>
      <c r="D165" s="6">
        <v>58</v>
      </c>
      <c r="E165" s="6">
        <v>11</v>
      </c>
      <c r="F165" s="8" t="s">
        <v>1</v>
      </c>
      <c r="G165" s="8" t="s">
        <v>6</v>
      </c>
      <c r="H165" s="4">
        <v>3.2</v>
      </c>
      <c r="I165" s="10">
        <v>41422.01</v>
      </c>
      <c r="J165" s="6">
        <v>7</v>
      </c>
      <c r="K165" s="6">
        <v>0</v>
      </c>
    </row>
    <row r="166" spans="1:11" x14ac:dyDescent="0.2">
      <c r="A166" s="2">
        <v>165</v>
      </c>
      <c r="B166" s="6">
        <v>41</v>
      </c>
      <c r="C166" s="8" t="s">
        <v>0</v>
      </c>
      <c r="D166" s="6">
        <v>51</v>
      </c>
      <c r="E166" s="6">
        <v>2</v>
      </c>
      <c r="F166" s="8" t="s">
        <v>4</v>
      </c>
      <c r="G166" s="8" t="s">
        <v>2</v>
      </c>
      <c r="H166" s="4">
        <v>3.2</v>
      </c>
      <c r="I166" s="10">
        <v>49208.65</v>
      </c>
      <c r="J166" s="6">
        <v>3</v>
      </c>
      <c r="K166" s="6">
        <v>1</v>
      </c>
    </row>
    <row r="167" spans="1:11" x14ac:dyDescent="0.2">
      <c r="A167" s="2">
        <v>166</v>
      </c>
      <c r="B167" s="6">
        <v>54</v>
      </c>
      <c r="C167" s="8" t="s">
        <v>3</v>
      </c>
      <c r="D167" s="6">
        <v>19</v>
      </c>
      <c r="E167" s="6">
        <v>19</v>
      </c>
      <c r="F167" s="8" t="s">
        <v>4</v>
      </c>
      <c r="G167" s="8" t="s">
        <v>6</v>
      </c>
      <c r="H167" s="4">
        <v>3.4</v>
      </c>
      <c r="I167" s="10">
        <v>14776.07</v>
      </c>
      <c r="J167" s="6">
        <v>6</v>
      </c>
      <c r="K167" s="6">
        <v>0</v>
      </c>
    </row>
    <row r="168" spans="1:11" x14ac:dyDescent="0.2">
      <c r="A168" s="2">
        <v>167</v>
      </c>
      <c r="B168" s="6">
        <v>52</v>
      </c>
      <c r="C168" s="8" t="s">
        <v>3</v>
      </c>
      <c r="D168" s="6">
        <v>21</v>
      </c>
      <c r="E168" s="6">
        <v>11</v>
      </c>
      <c r="F168" s="8" t="s">
        <v>4</v>
      </c>
      <c r="G168" s="8" t="s">
        <v>2</v>
      </c>
      <c r="H168" s="4">
        <v>3.7</v>
      </c>
      <c r="I168" s="10">
        <v>48076.21</v>
      </c>
      <c r="J168" s="6">
        <v>4</v>
      </c>
      <c r="K168" s="6">
        <v>1</v>
      </c>
    </row>
    <row r="169" spans="1:11" x14ac:dyDescent="0.2">
      <c r="A169" s="2">
        <v>168</v>
      </c>
      <c r="B169" s="6">
        <v>61</v>
      </c>
      <c r="C169" s="8" t="s">
        <v>0</v>
      </c>
      <c r="D169" s="6">
        <v>5</v>
      </c>
      <c r="E169" s="6">
        <v>16</v>
      </c>
      <c r="F169" s="8" t="s">
        <v>4</v>
      </c>
      <c r="G169" s="8" t="s">
        <v>2</v>
      </c>
      <c r="H169" s="4">
        <v>4.2</v>
      </c>
      <c r="I169" s="10">
        <v>19779.349999999999</v>
      </c>
      <c r="J169" s="6">
        <v>4</v>
      </c>
      <c r="K169" s="6">
        <v>1</v>
      </c>
    </row>
    <row r="170" spans="1:11" x14ac:dyDescent="0.2">
      <c r="A170" s="2">
        <v>169</v>
      </c>
      <c r="B170" s="6">
        <v>57</v>
      </c>
      <c r="C170" s="8" t="s">
        <v>0</v>
      </c>
      <c r="D170" s="6">
        <v>18</v>
      </c>
      <c r="E170" s="6">
        <v>9</v>
      </c>
      <c r="F170" s="8" t="s">
        <v>1</v>
      </c>
      <c r="G170" s="8" t="s">
        <v>5</v>
      </c>
      <c r="H170" s="4">
        <v>2.1</v>
      </c>
      <c r="I170" s="10">
        <v>19582.84</v>
      </c>
      <c r="J170" s="6">
        <v>8</v>
      </c>
      <c r="K170" s="6">
        <v>1</v>
      </c>
    </row>
    <row r="171" spans="1:11" x14ac:dyDescent="0.2">
      <c r="A171" s="2">
        <v>170</v>
      </c>
      <c r="B171" s="6">
        <v>39</v>
      </c>
      <c r="C171" s="8" t="s">
        <v>0</v>
      </c>
      <c r="D171" s="6">
        <v>28</v>
      </c>
      <c r="E171" s="6">
        <v>13</v>
      </c>
      <c r="F171" s="8" t="s">
        <v>1</v>
      </c>
      <c r="G171" s="8" t="s">
        <v>2</v>
      </c>
      <c r="H171" s="4">
        <v>4.3</v>
      </c>
      <c r="I171" s="10">
        <v>17349.16</v>
      </c>
      <c r="J171" s="6">
        <v>8</v>
      </c>
      <c r="K171" s="6">
        <v>0</v>
      </c>
    </row>
    <row r="172" spans="1:11" x14ac:dyDescent="0.2">
      <c r="A172" s="2">
        <v>171</v>
      </c>
      <c r="B172" s="6">
        <v>44</v>
      </c>
      <c r="C172" s="8" t="s">
        <v>3</v>
      </c>
      <c r="D172" s="6">
        <v>42</v>
      </c>
      <c r="E172" s="6">
        <v>16</v>
      </c>
      <c r="F172" s="8" t="s">
        <v>4</v>
      </c>
      <c r="G172" s="8" t="s">
        <v>6</v>
      </c>
      <c r="H172" s="4">
        <v>3</v>
      </c>
      <c r="I172" s="10">
        <v>27299.68</v>
      </c>
      <c r="J172" s="6">
        <v>8</v>
      </c>
      <c r="K172" s="6">
        <v>0</v>
      </c>
    </row>
    <row r="173" spans="1:11" x14ac:dyDescent="0.2">
      <c r="A173" s="2">
        <v>172</v>
      </c>
      <c r="B173" s="6">
        <v>52</v>
      </c>
      <c r="C173" s="8" t="s">
        <v>0</v>
      </c>
      <c r="D173" s="6">
        <v>22</v>
      </c>
      <c r="E173" s="6">
        <v>17</v>
      </c>
      <c r="F173" s="8" t="s">
        <v>1</v>
      </c>
      <c r="G173" s="8" t="s">
        <v>6</v>
      </c>
      <c r="H173" s="4">
        <v>1.3</v>
      </c>
      <c r="I173" s="10">
        <v>8130.18</v>
      </c>
      <c r="J173" s="6">
        <v>5</v>
      </c>
      <c r="K173" s="6">
        <v>0</v>
      </c>
    </row>
    <row r="174" spans="1:11" x14ac:dyDescent="0.2">
      <c r="A174" s="2">
        <v>173</v>
      </c>
      <c r="B174" s="6">
        <v>18</v>
      </c>
      <c r="C174" s="8" t="s">
        <v>0</v>
      </c>
      <c r="D174" s="6">
        <v>21</v>
      </c>
      <c r="E174" s="6">
        <v>18</v>
      </c>
      <c r="F174" s="8" t="s">
        <v>4</v>
      </c>
      <c r="G174" s="8" t="s">
        <v>2</v>
      </c>
      <c r="H174" s="4">
        <v>1.2</v>
      </c>
      <c r="I174" s="10">
        <v>27908.720000000001</v>
      </c>
      <c r="J174" s="6">
        <v>5</v>
      </c>
      <c r="K174" s="6">
        <v>0</v>
      </c>
    </row>
    <row r="175" spans="1:11" x14ac:dyDescent="0.2">
      <c r="A175" s="2">
        <v>174</v>
      </c>
      <c r="B175" s="6">
        <v>52</v>
      </c>
      <c r="C175" s="8" t="s">
        <v>0</v>
      </c>
      <c r="D175" s="6">
        <v>6</v>
      </c>
      <c r="E175" s="6">
        <v>16</v>
      </c>
      <c r="F175" s="8" t="s">
        <v>1</v>
      </c>
      <c r="G175" s="8" t="s">
        <v>5</v>
      </c>
      <c r="H175" s="4">
        <v>2.2999999999999998</v>
      </c>
      <c r="I175" s="10">
        <v>27314.39</v>
      </c>
      <c r="J175" s="6">
        <v>4</v>
      </c>
      <c r="K175" s="6">
        <v>0</v>
      </c>
    </row>
    <row r="176" spans="1:11" x14ac:dyDescent="0.2">
      <c r="A176" s="2">
        <v>175</v>
      </c>
      <c r="B176" s="6">
        <v>54</v>
      </c>
      <c r="C176" s="8" t="s">
        <v>3</v>
      </c>
      <c r="D176" s="6">
        <v>1</v>
      </c>
      <c r="E176" s="6">
        <v>13</v>
      </c>
      <c r="F176" s="8" t="s">
        <v>4</v>
      </c>
      <c r="G176" s="8" t="s">
        <v>5</v>
      </c>
      <c r="H176" s="4">
        <v>4.0999999999999996</v>
      </c>
      <c r="I176" s="10">
        <v>38214.14</v>
      </c>
      <c r="J176" s="6">
        <v>8</v>
      </c>
      <c r="K176" s="6">
        <v>0</v>
      </c>
    </row>
    <row r="177" spans="1:11" x14ac:dyDescent="0.2">
      <c r="A177" s="2">
        <v>176</v>
      </c>
      <c r="B177" s="6">
        <v>64</v>
      </c>
      <c r="C177" s="8" t="s">
        <v>0</v>
      </c>
      <c r="D177" s="6">
        <v>5</v>
      </c>
      <c r="E177" s="6">
        <v>8</v>
      </c>
      <c r="F177" s="8" t="s">
        <v>1</v>
      </c>
      <c r="G177" s="8" t="s">
        <v>6</v>
      </c>
      <c r="H177" s="4">
        <v>3.8</v>
      </c>
      <c r="I177" s="10">
        <v>41765.67</v>
      </c>
      <c r="J177" s="6">
        <v>9</v>
      </c>
      <c r="K177" s="6">
        <v>0</v>
      </c>
    </row>
    <row r="178" spans="1:11" x14ac:dyDescent="0.2">
      <c r="A178" s="2">
        <v>177</v>
      </c>
      <c r="B178" s="6">
        <v>31</v>
      </c>
      <c r="C178" s="8" t="s">
        <v>0</v>
      </c>
      <c r="D178" s="6">
        <v>41</v>
      </c>
      <c r="E178" s="6">
        <v>7</v>
      </c>
      <c r="F178" s="8" t="s">
        <v>4</v>
      </c>
      <c r="G178" s="8" t="s">
        <v>5</v>
      </c>
      <c r="H178" s="4">
        <v>4.2</v>
      </c>
      <c r="I178" s="10">
        <v>22301.85</v>
      </c>
      <c r="J178" s="6">
        <v>7</v>
      </c>
      <c r="K178" s="6">
        <v>1</v>
      </c>
    </row>
    <row r="179" spans="1:11" x14ac:dyDescent="0.2">
      <c r="A179" s="2">
        <v>178</v>
      </c>
      <c r="B179" s="6">
        <v>20</v>
      </c>
      <c r="C179" s="8" t="s">
        <v>3</v>
      </c>
      <c r="D179" s="6">
        <v>12</v>
      </c>
      <c r="E179" s="6">
        <v>1</v>
      </c>
      <c r="F179" s="8" t="s">
        <v>4</v>
      </c>
      <c r="G179" s="8" t="s">
        <v>2</v>
      </c>
      <c r="H179" s="4">
        <v>3.1</v>
      </c>
      <c r="I179" s="10">
        <v>15465.5</v>
      </c>
      <c r="J179" s="6">
        <v>6</v>
      </c>
      <c r="K179" s="6">
        <v>0</v>
      </c>
    </row>
    <row r="180" spans="1:11" x14ac:dyDescent="0.2">
      <c r="A180" s="2">
        <v>179</v>
      </c>
      <c r="B180" s="6">
        <v>18</v>
      </c>
      <c r="C180" s="8" t="s">
        <v>0</v>
      </c>
      <c r="D180" s="6">
        <v>26</v>
      </c>
      <c r="E180" s="6">
        <v>12</v>
      </c>
      <c r="F180" s="8" t="s">
        <v>1</v>
      </c>
      <c r="G180" s="8" t="s">
        <v>2</v>
      </c>
      <c r="H180" s="4">
        <v>2.8</v>
      </c>
      <c r="I180" s="10">
        <v>13337.08</v>
      </c>
      <c r="J180" s="6">
        <v>6</v>
      </c>
      <c r="K180" s="6">
        <v>1</v>
      </c>
    </row>
    <row r="181" spans="1:11" x14ac:dyDescent="0.2">
      <c r="A181" s="2">
        <v>180</v>
      </c>
      <c r="B181" s="6">
        <v>22</v>
      </c>
      <c r="C181" s="8" t="s">
        <v>0</v>
      </c>
      <c r="D181" s="6">
        <v>46</v>
      </c>
      <c r="E181" s="6">
        <v>6</v>
      </c>
      <c r="F181" s="8" t="s">
        <v>4</v>
      </c>
      <c r="G181" s="8" t="s">
        <v>6</v>
      </c>
      <c r="H181" s="4">
        <v>1.6</v>
      </c>
      <c r="I181" s="10">
        <v>10133.879999999999</v>
      </c>
      <c r="J181" s="6">
        <v>5</v>
      </c>
      <c r="K181" s="6">
        <v>1</v>
      </c>
    </row>
    <row r="182" spans="1:11" x14ac:dyDescent="0.2">
      <c r="A182" s="2">
        <v>181</v>
      </c>
      <c r="B182" s="6">
        <v>43</v>
      </c>
      <c r="C182" s="8" t="s">
        <v>3</v>
      </c>
      <c r="D182" s="6">
        <v>34</v>
      </c>
      <c r="E182" s="6">
        <v>8</v>
      </c>
      <c r="F182" s="8" t="s">
        <v>1</v>
      </c>
      <c r="G182" s="8" t="s">
        <v>2</v>
      </c>
      <c r="H182" s="4">
        <v>2.2999999999999998</v>
      </c>
      <c r="I182" s="10">
        <v>3353.56</v>
      </c>
      <c r="J182" s="6">
        <v>4</v>
      </c>
      <c r="K182" s="6">
        <v>0</v>
      </c>
    </row>
    <row r="183" spans="1:11" x14ac:dyDescent="0.2">
      <c r="A183" s="2">
        <v>182</v>
      </c>
      <c r="B183" s="6">
        <v>72</v>
      </c>
      <c r="C183" s="8" t="s">
        <v>0</v>
      </c>
      <c r="D183" s="6">
        <v>49</v>
      </c>
      <c r="E183" s="6">
        <v>10</v>
      </c>
      <c r="F183" s="8" t="s">
        <v>1</v>
      </c>
      <c r="G183" s="8" t="s">
        <v>6</v>
      </c>
      <c r="H183" s="4">
        <v>2.7</v>
      </c>
      <c r="I183" s="10">
        <v>17451.169999999998</v>
      </c>
      <c r="J183" s="6">
        <v>3</v>
      </c>
      <c r="K183" s="6">
        <v>0</v>
      </c>
    </row>
    <row r="184" spans="1:11" x14ac:dyDescent="0.2">
      <c r="A184" s="2">
        <v>183</v>
      </c>
      <c r="B184" s="6">
        <v>31</v>
      </c>
      <c r="C184" s="8" t="s">
        <v>3</v>
      </c>
      <c r="D184" s="6">
        <v>14</v>
      </c>
      <c r="E184" s="6">
        <v>13</v>
      </c>
      <c r="F184" s="8" t="s">
        <v>4</v>
      </c>
      <c r="G184" s="8" t="s">
        <v>2</v>
      </c>
      <c r="H184" s="4">
        <v>1.4</v>
      </c>
      <c r="I184" s="10">
        <v>13877.26</v>
      </c>
      <c r="J184" s="6">
        <v>2</v>
      </c>
      <c r="K184" s="6">
        <v>1</v>
      </c>
    </row>
    <row r="185" spans="1:11" x14ac:dyDescent="0.2">
      <c r="A185" s="2">
        <v>184</v>
      </c>
      <c r="B185" s="6">
        <v>56</v>
      </c>
      <c r="C185" s="8" t="s">
        <v>3</v>
      </c>
      <c r="D185" s="6">
        <v>26</v>
      </c>
      <c r="E185" s="6">
        <v>3</v>
      </c>
      <c r="F185" s="8" t="s">
        <v>1</v>
      </c>
      <c r="G185" s="8" t="s">
        <v>6</v>
      </c>
      <c r="H185" s="4">
        <v>1.9</v>
      </c>
      <c r="I185" s="10">
        <v>48337.66</v>
      </c>
      <c r="J185" s="6">
        <v>2</v>
      </c>
      <c r="K185" s="6">
        <v>0</v>
      </c>
    </row>
    <row r="186" spans="1:11" x14ac:dyDescent="0.2">
      <c r="A186" s="2">
        <v>185</v>
      </c>
      <c r="B186" s="6">
        <v>44</v>
      </c>
      <c r="C186" s="8" t="s">
        <v>0</v>
      </c>
      <c r="D186" s="6">
        <v>45</v>
      </c>
      <c r="E186" s="6">
        <v>12</v>
      </c>
      <c r="F186" s="8" t="s">
        <v>1</v>
      </c>
      <c r="G186" s="8" t="s">
        <v>5</v>
      </c>
      <c r="H186" s="4">
        <v>3.4</v>
      </c>
      <c r="I186" s="10">
        <v>28106.59</v>
      </c>
      <c r="J186" s="6">
        <v>5</v>
      </c>
      <c r="K186" s="6">
        <v>0</v>
      </c>
    </row>
    <row r="187" spans="1:11" x14ac:dyDescent="0.2">
      <c r="A187" s="2">
        <v>186</v>
      </c>
      <c r="B187" s="6">
        <v>26</v>
      </c>
      <c r="C187" s="8" t="s">
        <v>0</v>
      </c>
      <c r="D187" s="6">
        <v>27</v>
      </c>
      <c r="E187" s="6">
        <v>1</v>
      </c>
      <c r="F187" s="8" t="s">
        <v>1</v>
      </c>
      <c r="G187" s="8" t="s">
        <v>2</v>
      </c>
      <c r="H187" s="4">
        <v>3.9</v>
      </c>
      <c r="I187" s="10">
        <v>17690.21</v>
      </c>
      <c r="J187" s="6">
        <v>3</v>
      </c>
      <c r="K187" s="6">
        <v>0</v>
      </c>
    </row>
    <row r="188" spans="1:11" x14ac:dyDescent="0.2">
      <c r="A188" s="2">
        <v>187</v>
      </c>
      <c r="B188" s="6">
        <v>32</v>
      </c>
      <c r="C188" s="8" t="s">
        <v>0</v>
      </c>
      <c r="D188" s="6">
        <v>9</v>
      </c>
      <c r="E188" s="6">
        <v>4</v>
      </c>
      <c r="F188" s="8" t="s">
        <v>1</v>
      </c>
      <c r="G188" s="8" t="s">
        <v>2</v>
      </c>
      <c r="H188" s="4">
        <v>5</v>
      </c>
      <c r="I188" s="10">
        <v>29233.15</v>
      </c>
      <c r="J188" s="6">
        <v>5</v>
      </c>
      <c r="K188" s="6">
        <v>0</v>
      </c>
    </row>
    <row r="189" spans="1:11" x14ac:dyDescent="0.2">
      <c r="A189" s="2">
        <v>188</v>
      </c>
      <c r="B189" s="6">
        <v>32</v>
      </c>
      <c r="C189" s="8" t="s">
        <v>0</v>
      </c>
      <c r="D189" s="6">
        <v>26</v>
      </c>
      <c r="E189" s="6">
        <v>10</v>
      </c>
      <c r="F189" s="8" t="s">
        <v>1</v>
      </c>
      <c r="G189" s="8" t="s">
        <v>6</v>
      </c>
      <c r="H189" s="4">
        <v>4.7</v>
      </c>
      <c r="I189" s="10">
        <v>7390.24</v>
      </c>
      <c r="J189" s="6">
        <v>2</v>
      </c>
      <c r="K189" s="6">
        <v>0</v>
      </c>
    </row>
    <row r="190" spans="1:11" x14ac:dyDescent="0.2">
      <c r="A190" s="2">
        <v>189</v>
      </c>
      <c r="B190" s="6">
        <v>43</v>
      </c>
      <c r="C190" s="8" t="s">
        <v>3</v>
      </c>
      <c r="D190" s="6">
        <v>57</v>
      </c>
      <c r="E190" s="6">
        <v>5</v>
      </c>
      <c r="F190" s="8" t="s">
        <v>4</v>
      </c>
      <c r="G190" s="8" t="s">
        <v>6</v>
      </c>
      <c r="H190" s="4">
        <v>3.6</v>
      </c>
      <c r="I190" s="10">
        <v>22480.17</v>
      </c>
      <c r="J190" s="6">
        <v>3</v>
      </c>
      <c r="K190" s="6">
        <v>0</v>
      </c>
    </row>
    <row r="191" spans="1:11" x14ac:dyDescent="0.2">
      <c r="A191" s="2">
        <v>190</v>
      </c>
      <c r="B191" s="6">
        <v>59</v>
      </c>
      <c r="C191" s="8" t="s">
        <v>0</v>
      </c>
      <c r="D191" s="6">
        <v>47</v>
      </c>
      <c r="E191" s="6">
        <v>17</v>
      </c>
      <c r="F191" s="8" t="s">
        <v>1</v>
      </c>
      <c r="G191" s="8" t="s">
        <v>2</v>
      </c>
      <c r="H191" s="4">
        <v>2.7</v>
      </c>
      <c r="I191" s="10">
        <v>31498.6</v>
      </c>
      <c r="J191" s="6">
        <v>8</v>
      </c>
      <c r="K191" s="6">
        <v>0</v>
      </c>
    </row>
    <row r="192" spans="1:11" x14ac:dyDescent="0.2">
      <c r="A192" s="2">
        <v>191</v>
      </c>
      <c r="B192" s="6">
        <v>77</v>
      </c>
      <c r="C192" s="8" t="s">
        <v>3</v>
      </c>
      <c r="D192" s="6">
        <v>57</v>
      </c>
      <c r="E192" s="6">
        <v>9</v>
      </c>
      <c r="F192" s="8" t="s">
        <v>1</v>
      </c>
      <c r="G192" s="8" t="s">
        <v>6</v>
      </c>
      <c r="H192" s="4">
        <v>3.5</v>
      </c>
      <c r="I192" s="10">
        <v>24700.44</v>
      </c>
      <c r="J192" s="6">
        <v>4</v>
      </c>
      <c r="K192" s="6">
        <v>0</v>
      </c>
    </row>
    <row r="193" spans="1:11" x14ac:dyDescent="0.2">
      <c r="A193" s="2">
        <v>192</v>
      </c>
      <c r="B193" s="6">
        <v>30</v>
      </c>
      <c r="C193" s="8" t="s">
        <v>0</v>
      </c>
      <c r="D193" s="6">
        <v>22</v>
      </c>
      <c r="E193" s="6">
        <v>3</v>
      </c>
      <c r="F193" s="8" t="s">
        <v>1</v>
      </c>
      <c r="G193" s="8" t="s">
        <v>2</v>
      </c>
      <c r="H193" s="4">
        <v>4.0999999999999996</v>
      </c>
      <c r="I193" s="10">
        <v>20388.05</v>
      </c>
      <c r="J193" s="6">
        <v>6</v>
      </c>
      <c r="K193" s="6">
        <v>0</v>
      </c>
    </row>
    <row r="194" spans="1:11" x14ac:dyDescent="0.2">
      <c r="A194" s="2">
        <v>193</v>
      </c>
      <c r="B194" s="6">
        <v>68</v>
      </c>
      <c r="C194" s="8" t="s">
        <v>0</v>
      </c>
      <c r="D194" s="6">
        <v>47</v>
      </c>
      <c r="E194" s="6">
        <v>8</v>
      </c>
      <c r="F194" s="8" t="s">
        <v>1</v>
      </c>
      <c r="G194" s="8" t="s">
        <v>5</v>
      </c>
      <c r="H194" s="4">
        <v>1.5</v>
      </c>
      <c r="I194" s="10">
        <v>49695.5</v>
      </c>
      <c r="J194" s="6">
        <v>9</v>
      </c>
      <c r="K194" s="6">
        <v>0</v>
      </c>
    </row>
    <row r="195" spans="1:11" x14ac:dyDescent="0.2">
      <c r="A195" s="2">
        <v>194</v>
      </c>
      <c r="B195" s="6">
        <v>49</v>
      </c>
      <c r="C195" s="8" t="s">
        <v>0</v>
      </c>
      <c r="D195" s="6">
        <v>56</v>
      </c>
      <c r="E195" s="6">
        <v>5</v>
      </c>
      <c r="F195" s="8" t="s">
        <v>1</v>
      </c>
      <c r="G195" s="8" t="s">
        <v>6</v>
      </c>
      <c r="H195" s="4">
        <v>2.6</v>
      </c>
      <c r="I195" s="10">
        <v>44075.58</v>
      </c>
      <c r="J195" s="6">
        <v>1</v>
      </c>
      <c r="K195" s="6">
        <v>0</v>
      </c>
    </row>
    <row r="196" spans="1:11" x14ac:dyDescent="0.2">
      <c r="A196" s="2">
        <v>195</v>
      </c>
      <c r="B196" s="6">
        <v>56</v>
      </c>
      <c r="C196" s="8" t="s">
        <v>3</v>
      </c>
      <c r="D196" s="6">
        <v>30</v>
      </c>
      <c r="E196" s="6">
        <v>1</v>
      </c>
      <c r="F196" s="8" t="s">
        <v>4</v>
      </c>
      <c r="G196" s="8" t="s">
        <v>2</v>
      </c>
      <c r="H196" s="4">
        <v>4.4000000000000004</v>
      </c>
      <c r="I196" s="10">
        <v>31358.59</v>
      </c>
      <c r="J196" s="6">
        <v>4</v>
      </c>
      <c r="K196" s="6">
        <v>1</v>
      </c>
    </row>
    <row r="197" spans="1:11" x14ac:dyDescent="0.2">
      <c r="A197" s="2">
        <v>196</v>
      </c>
      <c r="B197" s="6">
        <v>66</v>
      </c>
      <c r="C197" s="8" t="s">
        <v>0</v>
      </c>
      <c r="D197" s="6">
        <v>43</v>
      </c>
      <c r="E197" s="6">
        <v>16</v>
      </c>
      <c r="F197" s="8" t="s">
        <v>1</v>
      </c>
      <c r="G197" s="8" t="s">
        <v>5</v>
      </c>
      <c r="H197" s="4">
        <v>2.5</v>
      </c>
      <c r="I197" s="10">
        <v>28684.18</v>
      </c>
      <c r="J197" s="6">
        <v>8</v>
      </c>
      <c r="K197" s="6">
        <v>0</v>
      </c>
    </row>
    <row r="198" spans="1:11" x14ac:dyDescent="0.2">
      <c r="A198" s="2">
        <v>197</v>
      </c>
      <c r="B198" s="6">
        <v>69</v>
      </c>
      <c r="C198" s="8" t="s">
        <v>0</v>
      </c>
      <c r="D198" s="6">
        <v>48</v>
      </c>
      <c r="E198" s="6">
        <v>4</v>
      </c>
      <c r="F198" s="8" t="s">
        <v>4</v>
      </c>
      <c r="G198" s="8" t="s">
        <v>5</v>
      </c>
      <c r="H198" s="4">
        <v>3.3</v>
      </c>
      <c r="I198" s="10">
        <v>31222.69</v>
      </c>
      <c r="J198" s="6">
        <v>2</v>
      </c>
      <c r="K198" s="6">
        <v>0</v>
      </c>
    </row>
    <row r="199" spans="1:11" x14ac:dyDescent="0.2">
      <c r="A199" s="2">
        <v>198</v>
      </c>
      <c r="B199" s="6">
        <v>78</v>
      </c>
      <c r="C199" s="8" t="s">
        <v>0</v>
      </c>
      <c r="D199" s="6">
        <v>17</v>
      </c>
      <c r="E199" s="6">
        <v>5</v>
      </c>
      <c r="F199" s="8" t="s">
        <v>4</v>
      </c>
      <c r="G199" s="8" t="s">
        <v>2</v>
      </c>
      <c r="H199" s="4">
        <v>3.4</v>
      </c>
      <c r="I199" s="10">
        <v>10464.950000000001</v>
      </c>
      <c r="J199" s="6">
        <v>8</v>
      </c>
      <c r="K199" s="6">
        <v>0</v>
      </c>
    </row>
    <row r="200" spans="1:11" x14ac:dyDescent="0.2">
      <c r="A200" s="2">
        <v>199</v>
      </c>
      <c r="B200" s="6">
        <v>49</v>
      </c>
      <c r="C200" s="8" t="s">
        <v>0</v>
      </c>
      <c r="D200" s="6">
        <v>26</v>
      </c>
      <c r="E200" s="6">
        <v>11</v>
      </c>
      <c r="F200" s="8" t="s">
        <v>4</v>
      </c>
      <c r="G200" s="8" t="s">
        <v>6</v>
      </c>
      <c r="H200" s="4">
        <v>1.7</v>
      </c>
      <c r="I200" s="10">
        <v>20059.32</v>
      </c>
      <c r="J200" s="6">
        <v>5</v>
      </c>
      <c r="K200" s="6">
        <v>0</v>
      </c>
    </row>
    <row r="201" spans="1:11" x14ac:dyDescent="0.2">
      <c r="A201" s="2">
        <v>200</v>
      </c>
      <c r="B201" s="6">
        <v>21</v>
      </c>
      <c r="C201" s="8" t="s">
        <v>3</v>
      </c>
      <c r="D201" s="6">
        <v>36</v>
      </c>
      <c r="E201" s="6">
        <v>9</v>
      </c>
      <c r="F201" s="8" t="s">
        <v>4</v>
      </c>
      <c r="G201" s="8" t="s">
        <v>2</v>
      </c>
      <c r="H201" s="4">
        <v>2.4</v>
      </c>
      <c r="I201" s="10">
        <v>2453.25</v>
      </c>
      <c r="J201" s="6">
        <v>3</v>
      </c>
      <c r="K201" s="6">
        <v>0</v>
      </c>
    </row>
    <row r="202" spans="1:11" x14ac:dyDescent="0.2">
      <c r="A202" s="2">
        <v>201</v>
      </c>
      <c r="B202" s="6">
        <v>47</v>
      </c>
      <c r="C202" s="8" t="s">
        <v>0</v>
      </c>
      <c r="D202" s="6">
        <v>1</v>
      </c>
      <c r="E202" s="6">
        <v>5</v>
      </c>
      <c r="F202" s="8" t="s">
        <v>1</v>
      </c>
      <c r="G202" s="8" t="s">
        <v>5</v>
      </c>
      <c r="H202" s="4">
        <v>2.2999999999999998</v>
      </c>
      <c r="I202" s="10">
        <v>24039.53</v>
      </c>
      <c r="J202" s="6">
        <v>6</v>
      </c>
      <c r="K202" s="6">
        <v>1</v>
      </c>
    </row>
    <row r="203" spans="1:11" x14ac:dyDescent="0.2">
      <c r="A203" s="2">
        <v>202</v>
      </c>
      <c r="B203" s="6">
        <v>54</v>
      </c>
      <c r="C203" s="8" t="s">
        <v>3</v>
      </c>
      <c r="D203" s="6">
        <v>8</v>
      </c>
      <c r="E203" s="6">
        <v>7</v>
      </c>
      <c r="F203" s="8" t="s">
        <v>4</v>
      </c>
      <c r="G203" s="8" t="s">
        <v>2</v>
      </c>
      <c r="H203" s="4">
        <v>1.1000000000000001</v>
      </c>
      <c r="I203" s="10">
        <v>27379.72</v>
      </c>
      <c r="J203" s="6">
        <v>7</v>
      </c>
      <c r="K203" s="6">
        <v>0</v>
      </c>
    </row>
    <row r="204" spans="1:11" x14ac:dyDescent="0.2">
      <c r="A204" s="2">
        <v>203</v>
      </c>
      <c r="B204" s="6">
        <v>40</v>
      </c>
      <c r="C204" s="8" t="s">
        <v>3</v>
      </c>
      <c r="D204" s="6">
        <v>49</v>
      </c>
      <c r="E204" s="6">
        <v>1</v>
      </c>
      <c r="F204" s="8" t="s">
        <v>4</v>
      </c>
      <c r="G204" s="8" t="s">
        <v>6</v>
      </c>
      <c r="H204" s="4">
        <v>1.1000000000000001</v>
      </c>
      <c r="I204" s="10">
        <v>11773.61</v>
      </c>
      <c r="J204" s="6">
        <v>5</v>
      </c>
      <c r="K204" s="6">
        <v>1</v>
      </c>
    </row>
    <row r="205" spans="1:11" x14ac:dyDescent="0.2">
      <c r="A205" s="2">
        <v>204</v>
      </c>
      <c r="B205" s="6">
        <v>56</v>
      </c>
      <c r="C205" s="8" t="s">
        <v>3</v>
      </c>
      <c r="D205" s="6">
        <v>35</v>
      </c>
      <c r="E205" s="6">
        <v>11</v>
      </c>
      <c r="F205" s="8" t="s">
        <v>1</v>
      </c>
      <c r="G205" s="8" t="s">
        <v>5</v>
      </c>
      <c r="H205" s="4">
        <v>4.3</v>
      </c>
      <c r="I205" s="10">
        <v>48219.43</v>
      </c>
      <c r="J205" s="6">
        <v>4</v>
      </c>
      <c r="K205" s="6">
        <v>0</v>
      </c>
    </row>
    <row r="206" spans="1:11" x14ac:dyDescent="0.2">
      <c r="A206" s="2">
        <v>205</v>
      </c>
      <c r="B206" s="6">
        <v>62</v>
      </c>
      <c r="C206" s="8" t="s">
        <v>3</v>
      </c>
      <c r="D206" s="6">
        <v>52</v>
      </c>
      <c r="E206" s="6">
        <v>12</v>
      </c>
      <c r="F206" s="8" t="s">
        <v>1</v>
      </c>
      <c r="G206" s="8" t="s">
        <v>2</v>
      </c>
      <c r="H206" s="4">
        <v>2.1</v>
      </c>
      <c r="I206" s="10">
        <v>45518</v>
      </c>
      <c r="J206" s="6">
        <v>5</v>
      </c>
      <c r="K206" s="6">
        <v>0</v>
      </c>
    </row>
    <row r="207" spans="1:11" x14ac:dyDescent="0.2">
      <c r="A207" s="2">
        <v>206</v>
      </c>
      <c r="B207" s="6">
        <v>32</v>
      </c>
      <c r="C207" s="8" t="s">
        <v>3</v>
      </c>
      <c r="D207" s="6">
        <v>15</v>
      </c>
      <c r="E207" s="6">
        <v>6</v>
      </c>
      <c r="F207" s="8" t="s">
        <v>1</v>
      </c>
      <c r="G207" s="8" t="s">
        <v>6</v>
      </c>
      <c r="H207" s="4">
        <v>3.1</v>
      </c>
      <c r="I207" s="10">
        <v>36246.089999999997</v>
      </c>
      <c r="J207" s="6">
        <v>4</v>
      </c>
      <c r="K207" s="6">
        <v>0</v>
      </c>
    </row>
    <row r="208" spans="1:11" x14ac:dyDescent="0.2">
      <c r="A208" s="2">
        <v>207</v>
      </c>
      <c r="B208" s="6">
        <v>60</v>
      </c>
      <c r="C208" s="8" t="s">
        <v>3</v>
      </c>
      <c r="D208" s="6">
        <v>47</v>
      </c>
      <c r="E208" s="6">
        <v>9</v>
      </c>
      <c r="F208" s="8" t="s">
        <v>4</v>
      </c>
      <c r="G208" s="8" t="s">
        <v>5</v>
      </c>
      <c r="H208" s="4">
        <v>2.2000000000000002</v>
      </c>
      <c r="I208" s="10">
        <v>26902.639999999999</v>
      </c>
      <c r="J208" s="6">
        <v>7</v>
      </c>
      <c r="K208" s="6">
        <v>1</v>
      </c>
    </row>
    <row r="209" spans="1:11" x14ac:dyDescent="0.2">
      <c r="A209" s="2">
        <v>208</v>
      </c>
      <c r="B209" s="6">
        <v>46</v>
      </c>
      <c r="C209" s="8" t="s">
        <v>0</v>
      </c>
      <c r="D209" s="6">
        <v>56</v>
      </c>
      <c r="E209" s="6">
        <v>12</v>
      </c>
      <c r="F209" s="8" t="s">
        <v>1</v>
      </c>
      <c r="G209" s="8" t="s">
        <v>6</v>
      </c>
      <c r="H209" s="4">
        <v>4.8</v>
      </c>
      <c r="I209" s="10">
        <v>43563.47</v>
      </c>
      <c r="J209" s="6">
        <v>0</v>
      </c>
      <c r="K209" s="6">
        <v>0</v>
      </c>
    </row>
    <row r="210" spans="1:11" x14ac:dyDescent="0.2">
      <c r="A210" s="2">
        <v>209</v>
      </c>
      <c r="B210" s="6">
        <v>53</v>
      </c>
      <c r="C210" s="8" t="s">
        <v>3</v>
      </c>
      <c r="D210" s="6">
        <v>22</v>
      </c>
      <c r="E210" s="6">
        <v>16</v>
      </c>
      <c r="F210" s="8" t="s">
        <v>1</v>
      </c>
      <c r="G210" s="8" t="s">
        <v>5</v>
      </c>
      <c r="H210" s="4">
        <v>2</v>
      </c>
      <c r="I210" s="10">
        <v>6967.29</v>
      </c>
      <c r="J210" s="6">
        <v>6</v>
      </c>
      <c r="K210" s="6">
        <v>0</v>
      </c>
    </row>
    <row r="211" spans="1:11" x14ac:dyDescent="0.2">
      <c r="A211" s="2">
        <v>210</v>
      </c>
      <c r="B211" s="6">
        <v>30</v>
      </c>
      <c r="C211" s="8" t="s">
        <v>3</v>
      </c>
      <c r="D211" s="6">
        <v>14</v>
      </c>
      <c r="E211" s="6">
        <v>13</v>
      </c>
      <c r="F211" s="8" t="s">
        <v>4</v>
      </c>
      <c r="G211" s="8" t="s">
        <v>2</v>
      </c>
      <c r="H211" s="4">
        <v>2.7</v>
      </c>
      <c r="I211" s="10">
        <v>39630.230000000003</v>
      </c>
      <c r="J211" s="6">
        <v>9</v>
      </c>
      <c r="K211" s="6">
        <v>0</v>
      </c>
    </row>
    <row r="212" spans="1:11" x14ac:dyDescent="0.2">
      <c r="A212" s="2">
        <v>211</v>
      </c>
      <c r="B212" s="6">
        <v>49</v>
      </c>
      <c r="C212" s="8" t="s">
        <v>3</v>
      </c>
      <c r="D212" s="6">
        <v>26</v>
      </c>
      <c r="E212" s="6">
        <v>1</v>
      </c>
      <c r="F212" s="8" t="s">
        <v>1</v>
      </c>
      <c r="G212" s="8" t="s">
        <v>6</v>
      </c>
      <c r="H212" s="4">
        <v>4.5</v>
      </c>
      <c r="I212" s="10">
        <v>6678.63</v>
      </c>
      <c r="J212" s="6">
        <v>9</v>
      </c>
      <c r="K212" s="6">
        <v>0</v>
      </c>
    </row>
    <row r="213" spans="1:11" x14ac:dyDescent="0.2">
      <c r="A213" s="2">
        <v>212</v>
      </c>
      <c r="B213" s="6">
        <v>24</v>
      </c>
      <c r="C213" s="8" t="s">
        <v>0</v>
      </c>
      <c r="D213" s="6">
        <v>28</v>
      </c>
      <c r="E213" s="6">
        <v>10</v>
      </c>
      <c r="F213" s="8" t="s">
        <v>1</v>
      </c>
      <c r="G213" s="8" t="s">
        <v>5</v>
      </c>
      <c r="H213" s="4">
        <v>4.4000000000000004</v>
      </c>
      <c r="I213" s="10">
        <v>39813.43</v>
      </c>
      <c r="J213" s="6">
        <v>1</v>
      </c>
      <c r="K213" s="6">
        <v>0</v>
      </c>
    </row>
    <row r="214" spans="1:11" x14ac:dyDescent="0.2">
      <c r="A214" s="2">
        <v>213</v>
      </c>
      <c r="B214" s="6">
        <v>76</v>
      </c>
      <c r="C214" s="8" t="s">
        <v>0</v>
      </c>
      <c r="D214" s="6">
        <v>23</v>
      </c>
      <c r="E214" s="6">
        <v>0</v>
      </c>
      <c r="F214" s="8" t="s">
        <v>1</v>
      </c>
      <c r="G214" s="8" t="s">
        <v>6</v>
      </c>
      <c r="H214" s="4">
        <v>1.7</v>
      </c>
      <c r="I214" s="10">
        <v>14150.49</v>
      </c>
      <c r="J214" s="6">
        <v>8</v>
      </c>
      <c r="K214" s="6">
        <v>0</v>
      </c>
    </row>
    <row r="215" spans="1:11" x14ac:dyDescent="0.2">
      <c r="A215" s="2">
        <v>214</v>
      </c>
      <c r="B215" s="6">
        <v>68</v>
      </c>
      <c r="C215" s="8" t="s">
        <v>3</v>
      </c>
      <c r="D215" s="6">
        <v>14</v>
      </c>
      <c r="E215" s="6">
        <v>18</v>
      </c>
      <c r="F215" s="8" t="s">
        <v>1</v>
      </c>
      <c r="G215" s="8" t="s">
        <v>6</v>
      </c>
      <c r="H215" s="4">
        <v>4.2</v>
      </c>
      <c r="I215" s="10">
        <v>43915.98</v>
      </c>
      <c r="J215" s="6">
        <v>0</v>
      </c>
      <c r="K215" s="6">
        <v>0</v>
      </c>
    </row>
    <row r="216" spans="1:11" x14ac:dyDescent="0.2">
      <c r="A216" s="2">
        <v>215</v>
      </c>
      <c r="B216" s="6">
        <v>39</v>
      </c>
      <c r="C216" s="8" t="s">
        <v>0</v>
      </c>
      <c r="D216" s="6">
        <v>24</v>
      </c>
      <c r="E216" s="6">
        <v>3</v>
      </c>
      <c r="F216" s="8" t="s">
        <v>4</v>
      </c>
      <c r="G216" s="8" t="s">
        <v>2</v>
      </c>
      <c r="H216" s="4">
        <v>2.8</v>
      </c>
      <c r="I216" s="10">
        <v>47230.080000000002</v>
      </c>
      <c r="J216" s="6">
        <v>9</v>
      </c>
      <c r="K216" s="6">
        <v>0</v>
      </c>
    </row>
    <row r="217" spans="1:11" x14ac:dyDescent="0.2">
      <c r="A217" s="2">
        <v>216</v>
      </c>
      <c r="B217" s="6">
        <v>45</v>
      </c>
      <c r="C217" s="8" t="s">
        <v>3</v>
      </c>
      <c r="D217" s="6">
        <v>2</v>
      </c>
      <c r="E217" s="6">
        <v>18</v>
      </c>
      <c r="F217" s="8" t="s">
        <v>1</v>
      </c>
      <c r="G217" s="8" t="s">
        <v>6</v>
      </c>
      <c r="H217" s="4">
        <v>2.9</v>
      </c>
      <c r="I217" s="10">
        <v>7865.4</v>
      </c>
      <c r="J217" s="6">
        <v>5</v>
      </c>
      <c r="K217" s="6">
        <v>0</v>
      </c>
    </row>
    <row r="218" spans="1:11" x14ac:dyDescent="0.2">
      <c r="A218" s="2">
        <v>217</v>
      </c>
      <c r="B218" s="6">
        <v>19</v>
      </c>
      <c r="C218" s="8" t="s">
        <v>3</v>
      </c>
      <c r="D218" s="6">
        <v>45</v>
      </c>
      <c r="E218" s="6">
        <v>10</v>
      </c>
      <c r="F218" s="8" t="s">
        <v>1</v>
      </c>
      <c r="G218" s="8" t="s">
        <v>5</v>
      </c>
      <c r="H218" s="4">
        <v>1.5</v>
      </c>
      <c r="I218" s="10">
        <v>23402.44</v>
      </c>
      <c r="J218" s="6">
        <v>8</v>
      </c>
      <c r="K218" s="6">
        <v>1</v>
      </c>
    </row>
    <row r="219" spans="1:11" x14ac:dyDescent="0.2">
      <c r="A219" s="2">
        <v>218</v>
      </c>
      <c r="B219" s="6">
        <v>59</v>
      </c>
      <c r="C219" s="8" t="s">
        <v>0</v>
      </c>
      <c r="D219" s="6">
        <v>26</v>
      </c>
      <c r="E219" s="6">
        <v>7</v>
      </c>
      <c r="F219" s="8" t="s">
        <v>4</v>
      </c>
      <c r="G219" s="8" t="s">
        <v>5</v>
      </c>
      <c r="H219" s="4">
        <v>1.3</v>
      </c>
      <c r="I219" s="10">
        <v>49058.879999999997</v>
      </c>
      <c r="J219" s="6">
        <v>0</v>
      </c>
      <c r="K219" s="6">
        <v>1</v>
      </c>
    </row>
    <row r="220" spans="1:11" x14ac:dyDescent="0.2">
      <c r="A220" s="2">
        <v>219</v>
      </c>
      <c r="B220" s="6">
        <v>62</v>
      </c>
      <c r="C220" s="8" t="s">
        <v>3</v>
      </c>
      <c r="D220" s="6">
        <v>14</v>
      </c>
      <c r="E220" s="6">
        <v>10</v>
      </c>
      <c r="F220" s="8" t="s">
        <v>1</v>
      </c>
      <c r="G220" s="8" t="s">
        <v>5</v>
      </c>
      <c r="H220" s="4">
        <v>3.9</v>
      </c>
      <c r="I220" s="10">
        <v>24428.67</v>
      </c>
      <c r="J220" s="6">
        <v>3</v>
      </c>
      <c r="K220" s="6">
        <v>1</v>
      </c>
    </row>
    <row r="221" spans="1:11" x14ac:dyDescent="0.2">
      <c r="A221" s="2">
        <v>220</v>
      </c>
      <c r="B221" s="6">
        <v>79</v>
      </c>
      <c r="C221" s="8" t="s">
        <v>0</v>
      </c>
      <c r="D221" s="6">
        <v>59</v>
      </c>
      <c r="E221" s="6">
        <v>3</v>
      </c>
      <c r="F221" s="8" t="s">
        <v>4</v>
      </c>
      <c r="G221" s="8" t="s">
        <v>5</v>
      </c>
      <c r="H221" s="4">
        <v>3</v>
      </c>
      <c r="I221" s="10">
        <v>43245.599999999999</v>
      </c>
      <c r="J221" s="6">
        <v>3</v>
      </c>
      <c r="K221" s="6">
        <v>0</v>
      </c>
    </row>
    <row r="222" spans="1:11" x14ac:dyDescent="0.2">
      <c r="A222" s="2">
        <v>221</v>
      </c>
      <c r="B222" s="6">
        <v>74</v>
      </c>
      <c r="C222" s="8" t="s">
        <v>0</v>
      </c>
      <c r="D222" s="6">
        <v>56</v>
      </c>
      <c r="E222" s="6">
        <v>16</v>
      </c>
      <c r="F222" s="8" t="s">
        <v>1</v>
      </c>
      <c r="G222" s="8" t="s">
        <v>2</v>
      </c>
      <c r="H222" s="4">
        <v>2.7</v>
      </c>
      <c r="I222" s="10">
        <v>29642.21</v>
      </c>
      <c r="J222" s="6">
        <v>8</v>
      </c>
      <c r="K222" s="6">
        <v>0</v>
      </c>
    </row>
    <row r="223" spans="1:11" x14ac:dyDescent="0.2">
      <c r="A223" s="2">
        <v>222</v>
      </c>
      <c r="B223" s="6">
        <v>70</v>
      </c>
      <c r="C223" s="8" t="s">
        <v>3</v>
      </c>
      <c r="D223" s="6">
        <v>51</v>
      </c>
      <c r="E223" s="6">
        <v>6</v>
      </c>
      <c r="F223" s="8" t="s">
        <v>4</v>
      </c>
      <c r="G223" s="8" t="s">
        <v>6</v>
      </c>
      <c r="H223" s="4">
        <v>3.9</v>
      </c>
      <c r="I223" s="10">
        <v>19078.830000000002</v>
      </c>
      <c r="J223" s="6">
        <v>4</v>
      </c>
      <c r="K223" s="6">
        <v>0</v>
      </c>
    </row>
    <row r="224" spans="1:11" x14ac:dyDescent="0.2">
      <c r="A224" s="2">
        <v>223</v>
      </c>
      <c r="B224" s="6">
        <v>23</v>
      </c>
      <c r="C224" s="8" t="s">
        <v>3</v>
      </c>
      <c r="D224" s="6">
        <v>7</v>
      </c>
      <c r="E224" s="6">
        <v>7</v>
      </c>
      <c r="F224" s="8" t="s">
        <v>4</v>
      </c>
      <c r="G224" s="8" t="s">
        <v>2</v>
      </c>
      <c r="H224" s="4">
        <v>4.0999999999999996</v>
      </c>
      <c r="I224" s="10">
        <v>14646.29</v>
      </c>
      <c r="J224" s="6">
        <v>4</v>
      </c>
      <c r="K224" s="6">
        <v>0</v>
      </c>
    </row>
    <row r="225" spans="1:11" x14ac:dyDescent="0.2">
      <c r="A225" s="2">
        <v>224</v>
      </c>
      <c r="B225" s="6">
        <v>45</v>
      </c>
      <c r="C225" s="8" t="s">
        <v>0</v>
      </c>
      <c r="D225" s="6">
        <v>3</v>
      </c>
      <c r="E225" s="6">
        <v>2</v>
      </c>
      <c r="F225" s="8" t="s">
        <v>4</v>
      </c>
      <c r="G225" s="8" t="s">
        <v>6</v>
      </c>
      <c r="H225" s="4">
        <v>1.6</v>
      </c>
      <c r="I225" s="10">
        <v>10559.54</v>
      </c>
      <c r="J225" s="6">
        <v>5</v>
      </c>
      <c r="K225" s="6">
        <v>0</v>
      </c>
    </row>
    <row r="226" spans="1:11" x14ac:dyDescent="0.2">
      <c r="A226" s="2">
        <v>225</v>
      </c>
      <c r="B226" s="6">
        <v>45</v>
      </c>
      <c r="C226" s="8" t="s">
        <v>3</v>
      </c>
      <c r="D226" s="6">
        <v>47</v>
      </c>
      <c r="E226" s="6">
        <v>1</v>
      </c>
      <c r="F226" s="8" t="s">
        <v>4</v>
      </c>
      <c r="G226" s="8" t="s">
        <v>6</v>
      </c>
      <c r="H226" s="4">
        <v>3.4</v>
      </c>
      <c r="I226" s="10">
        <v>38209.01</v>
      </c>
      <c r="J226" s="6">
        <v>0</v>
      </c>
      <c r="K226" s="6">
        <v>0</v>
      </c>
    </row>
    <row r="227" spans="1:11" x14ac:dyDescent="0.2">
      <c r="A227" s="2">
        <v>226</v>
      </c>
      <c r="B227" s="6">
        <v>61</v>
      </c>
      <c r="C227" s="8" t="s">
        <v>3</v>
      </c>
      <c r="D227" s="6">
        <v>23</v>
      </c>
      <c r="E227" s="6">
        <v>14</v>
      </c>
      <c r="F227" s="8" t="s">
        <v>1</v>
      </c>
      <c r="G227" s="8" t="s">
        <v>6</v>
      </c>
      <c r="H227" s="4">
        <v>1.5</v>
      </c>
      <c r="I227" s="10">
        <v>19633.759999999998</v>
      </c>
      <c r="J227" s="6">
        <v>0</v>
      </c>
      <c r="K227" s="6">
        <v>0</v>
      </c>
    </row>
    <row r="228" spans="1:11" x14ac:dyDescent="0.2">
      <c r="A228" s="2">
        <v>227</v>
      </c>
      <c r="B228" s="6">
        <v>61</v>
      </c>
      <c r="C228" s="8" t="s">
        <v>3</v>
      </c>
      <c r="D228" s="6">
        <v>46</v>
      </c>
      <c r="E228" s="6">
        <v>4</v>
      </c>
      <c r="F228" s="8" t="s">
        <v>4</v>
      </c>
      <c r="G228" s="8" t="s">
        <v>2</v>
      </c>
      <c r="H228" s="4">
        <v>4</v>
      </c>
      <c r="I228" s="10">
        <v>25808.14</v>
      </c>
      <c r="J228" s="6">
        <v>8</v>
      </c>
      <c r="K228" s="6">
        <v>0</v>
      </c>
    </row>
    <row r="229" spans="1:11" x14ac:dyDescent="0.2">
      <c r="A229" s="2">
        <v>228</v>
      </c>
      <c r="B229" s="6">
        <v>37</v>
      </c>
      <c r="C229" s="8" t="s">
        <v>0</v>
      </c>
      <c r="D229" s="6">
        <v>43</v>
      </c>
      <c r="E229" s="6">
        <v>0</v>
      </c>
      <c r="F229" s="8" t="s">
        <v>1</v>
      </c>
      <c r="G229" s="8" t="s">
        <v>6</v>
      </c>
      <c r="H229" s="4">
        <v>3.6</v>
      </c>
      <c r="I229" s="10">
        <v>24870.11</v>
      </c>
      <c r="J229" s="6">
        <v>2</v>
      </c>
      <c r="K229" s="6">
        <v>1</v>
      </c>
    </row>
    <row r="230" spans="1:11" x14ac:dyDescent="0.2">
      <c r="A230" s="2">
        <v>229</v>
      </c>
      <c r="B230" s="6">
        <v>47</v>
      </c>
      <c r="C230" s="8" t="s">
        <v>0</v>
      </c>
      <c r="D230" s="6">
        <v>47</v>
      </c>
      <c r="E230" s="6">
        <v>3</v>
      </c>
      <c r="F230" s="8" t="s">
        <v>4</v>
      </c>
      <c r="G230" s="8" t="s">
        <v>2</v>
      </c>
      <c r="H230" s="4">
        <v>4.8</v>
      </c>
      <c r="I230" s="10">
        <v>29075.31</v>
      </c>
      <c r="J230" s="6">
        <v>3</v>
      </c>
      <c r="K230" s="6">
        <v>0</v>
      </c>
    </row>
    <row r="231" spans="1:11" x14ac:dyDescent="0.2">
      <c r="A231" s="2">
        <v>230</v>
      </c>
      <c r="B231" s="6">
        <v>79</v>
      </c>
      <c r="C231" s="8" t="s">
        <v>3</v>
      </c>
      <c r="D231" s="6">
        <v>45</v>
      </c>
      <c r="E231" s="6">
        <v>14</v>
      </c>
      <c r="F231" s="8" t="s">
        <v>4</v>
      </c>
      <c r="G231" s="8" t="s">
        <v>5</v>
      </c>
      <c r="H231" s="4">
        <v>1.3</v>
      </c>
      <c r="I231" s="10">
        <v>43346.07</v>
      </c>
      <c r="J231" s="6">
        <v>0</v>
      </c>
      <c r="K231" s="6">
        <v>0</v>
      </c>
    </row>
    <row r="232" spans="1:11" x14ac:dyDescent="0.2">
      <c r="A232" s="2">
        <v>231</v>
      </c>
      <c r="B232" s="6">
        <v>28</v>
      </c>
      <c r="C232" s="8" t="s">
        <v>0</v>
      </c>
      <c r="D232" s="6">
        <v>18</v>
      </c>
      <c r="E232" s="6">
        <v>19</v>
      </c>
      <c r="F232" s="8" t="s">
        <v>4</v>
      </c>
      <c r="G232" s="8" t="s">
        <v>5</v>
      </c>
      <c r="H232" s="4">
        <v>1.2</v>
      </c>
      <c r="I232" s="10">
        <v>49046.6</v>
      </c>
      <c r="J232" s="6">
        <v>8</v>
      </c>
      <c r="K232" s="6">
        <v>0</v>
      </c>
    </row>
    <row r="233" spans="1:11" x14ac:dyDescent="0.2">
      <c r="A233" s="2">
        <v>232</v>
      </c>
      <c r="B233" s="6">
        <v>75</v>
      </c>
      <c r="C233" s="8" t="s">
        <v>0</v>
      </c>
      <c r="D233" s="6">
        <v>58</v>
      </c>
      <c r="E233" s="6">
        <v>18</v>
      </c>
      <c r="F233" s="8" t="s">
        <v>1</v>
      </c>
      <c r="G233" s="8" t="s">
        <v>6</v>
      </c>
      <c r="H233" s="4">
        <v>2.1</v>
      </c>
      <c r="I233" s="10">
        <v>20675.419999999998</v>
      </c>
      <c r="J233" s="6">
        <v>7</v>
      </c>
      <c r="K233" s="6">
        <v>0</v>
      </c>
    </row>
    <row r="234" spans="1:11" x14ac:dyDescent="0.2">
      <c r="A234" s="2">
        <v>233</v>
      </c>
      <c r="B234" s="6">
        <v>72</v>
      </c>
      <c r="C234" s="8" t="s">
        <v>0</v>
      </c>
      <c r="D234" s="6">
        <v>38</v>
      </c>
      <c r="E234" s="6">
        <v>2</v>
      </c>
      <c r="F234" s="8" t="s">
        <v>4</v>
      </c>
      <c r="G234" s="8" t="s">
        <v>2</v>
      </c>
      <c r="H234" s="4">
        <v>2</v>
      </c>
      <c r="I234" s="10">
        <v>41462.19</v>
      </c>
      <c r="J234" s="6">
        <v>1</v>
      </c>
      <c r="K234" s="6">
        <v>0</v>
      </c>
    </row>
    <row r="235" spans="1:11" x14ac:dyDescent="0.2">
      <c r="A235" s="2">
        <v>234</v>
      </c>
      <c r="B235" s="6">
        <v>45</v>
      </c>
      <c r="C235" s="8" t="s">
        <v>0</v>
      </c>
      <c r="D235" s="6">
        <v>35</v>
      </c>
      <c r="E235" s="6">
        <v>19</v>
      </c>
      <c r="F235" s="8" t="s">
        <v>1</v>
      </c>
      <c r="G235" s="8" t="s">
        <v>5</v>
      </c>
      <c r="H235" s="4">
        <v>2</v>
      </c>
      <c r="I235" s="10">
        <v>38344.129999999997</v>
      </c>
      <c r="J235" s="6">
        <v>7</v>
      </c>
      <c r="K235" s="6">
        <v>1</v>
      </c>
    </row>
    <row r="236" spans="1:11" x14ac:dyDescent="0.2">
      <c r="A236" s="2">
        <v>235</v>
      </c>
      <c r="B236" s="6">
        <v>42</v>
      </c>
      <c r="C236" s="8" t="s">
        <v>0</v>
      </c>
      <c r="D236" s="6">
        <v>51</v>
      </c>
      <c r="E236" s="6">
        <v>10</v>
      </c>
      <c r="F236" s="8" t="s">
        <v>1</v>
      </c>
      <c r="G236" s="8" t="s">
        <v>2</v>
      </c>
      <c r="H236" s="4">
        <v>4.5999999999999996</v>
      </c>
      <c r="I236" s="10">
        <v>28889.68</v>
      </c>
      <c r="J236" s="6">
        <v>6</v>
      </c>
      <c r="K236" s="6">
        <v>1</v>
      </c>
    </row>
    <row r="237" spans="1:11" x14ac:dyDescent="0.2">
      <c r="A237" s="2">
        <v>236</v>
      </c>
      <c r="B237" s="6">
        <v>56</v>
      </c>
      <c r="C237" s="8" t="s">
        <v>3</v>
      </c>
      <c r="D237" s="6">
        <v>15</v>
      </c>
      <c r="E237" s="6">
        <v>16</v>
      </c>
      <c r="F237" s="8" t="s">
        <v>1</v>
      </c>
      <c r="G237" s="8" t="s">
        <v>2</v>
      </c>
      <c r="H237" s="4">
        <v>2</v>
      </c>
      <c r="I237" s="10">
        <v>47824.33</v>
      </c>
      <c r="J237" s="6">
        <v>5</v>
      </c>
      <c r="K237" s="6">
        <v>0</v>
      </c>
    </row>
    <row r="238" spans="1:11" x14ac:dyDescent="0.2">
      <c r="A238" s="2">
        <v>237</v>
      </c>
      <c r="B238" s="6">
        <v>79</v>
      </c>
      <c r="C238" s="8" t="s">
        <v>3</v>
      </c>
      <c r="D238" s="6">
        <v>25</v>
      </c>
      <c r="E238" s="6">
        <v>12</v>
      </c>
      <c r="F238" s="8" t="s">
        <v>1</v>
      </c>
      <c r="G238" s="8" t="s">
        <v>6</v>
      </c>
      <c r="H238" s="4">
        <v>2.1</v>
      </c>
      <c r="I238" s="10">
        <v>10423.49</v>
      </c>
      <c r="J238" s="6">
        <v>0</v>
      </c>
      <c r="K238" s="6">
        <v>1</v>
      </c>
    </row>
    <row r="239" spans="1:11" x14ac:dyDescent="0.2">
      <c r="A239" s="2">
        <v>238</v>
      </c>
      <c r="B239" s="6">
        <v>50</v>
      </c>
      <c r="C239" s="8" t="s">
        <v>3</v>
      </c>
      <c r="D239" s="6">
        <v>55</v>
      </c>
      <c r="E239" s="6">
        <v>10</v>
      </c>
      <c r="F239" s="8" t="s">
        <v>1</v>
      </c>
      <c r="G239" s="8" t="s">
        <v>5</v>
      </c>
      <c r="H239" s="4">
        <v>4</v>
      </c>
      <c r="I239" s="10">
        <v>5908.58</v>
      </c>
      <c r="J239" s="6">
        <v>6</v>
      </c>
      <c r="K239" s="6">
        <v>1</v>
      </c>
    </row>
    <row r="240" spans="1:11" x14ac:dyDescent="0.2">
      <c r="A240" s="2">
        <v>239</v>
      </c>
      <c r="B240" s="6">
        <v>18</v>
      </c>
      <c r="C240" s="8" t="s">
        <v>0</v>
      </c>
      <c r="D240" s="6">
        <v>37</v>
      </c>
      <c r="E240" s="6">
        <v>1</v>
      </c>
      <c r="F240" s="8" t="s">
        <v>1</v>
      </c>
      <c r="G240" s="8" t="s">
        <v>6</v>
      </c>
      <c r="H240" s="4">
        <v>2.8</v>
      </c>
      <c r="I240" s="10">
        <v>42771.12</v>
      </c>
      <c r="J240" s="6">
        <v>9</v>
      </c>
      <c r="K240" s="6">
        <v>1</v>
      </c>
    </row>
    <row r="241" spans="1:11" x14ac:dyDescent="0.2">
      <c r="A241" s="2">
        <v>240</v>
      </c>
      <c r="B241" s="6">
        <v>74</v>
      </c>
      <c r="C241" s="8" t="s">
        <v>0</v>
      </c>
      <c r="D241" s="6">
        <v>28</v>
      </c>
      <c r="E241" s="6">
        <v>8</v>
      </c>
      <c r="F241" s="8" t="s">
        <v>1</v>
      </c>
      <c r="G241" s="8" t="s">
        <v>6</v>
      </c>
      <c r="H241" s="4">
        <v>4.0999999999999996</v>
      </c>
      <c r="I241" s="10">
        <v>22237.919999999998</v>
      </c>
      <c r="J241" s="6">
        <v>6</v>
      </c>
      <c r="K241" s="6">
        <v>1</v>
      </c>
    </row>
    <row r="242" spans="1:11" x14ac:dyDescent="0.2">
      <c r="A242" s="2">
        <v>241</v>
      </c>
      <c r="B242" s="6">
        <v>44</v>
      </c>
      <c r="C242" s="8" t="s">
        <v>3</v>
      </c>
      <c r="D242" s="6">
        <v>10</v>
      </c>
      <c r="E242" s="6">
        <v>1</v>
      </c>
      <c r="F242" s="8" t="s">
        <v>1</v>
      </c>
      <c r="G242" s="8" t="s">
        <v>5</v>
      </c>
      <c r="H242" s="4">
        <v>1.3</v>
      </c>
      <c r="I242" s="10">
        <v>42424.959999999999</v>
      </c>
      <c r="J242" s="6">
        <v>8</v>
      </c>
      <c r="K242" s="6">
        <v>0</v>
      </c>
    </row>
    <row r="243" spans="1:11" x14ac:dyDescent="0.2">
      <c r="A243" s="2">
        <v>242</v>
      </c>
      <c r="B243" s="6">
        <v>79</v>
      </c>
      <c r="C243" s="8" t="s">
        <v>0</v>
      </c>
      <c r="D243" s="6">
        <v>39</v>
      </c>
      <c r="E243" s="6">
        <v>8</v>
      </c>
      <c r="F243" s="8" t="s">
        <v>1</v>
      </c>
      <c r="G243" s="8" t="s">
        <v>5</v>
      </c>
      <c r="H243" s="4">
        <v>3</v>
      </c>
      <c r="I243" s="10">
        <v>44707.97</v>
      </c>
      <c r="J243" s="6">
        <v>0</v>
      </c>
      <c r="K243" s="6">
        <v>0</v>
      </c>
    </row>
    <row r="244" spans="1:11" x14ac:dyDescent="0.2">
      <c r="A244" s="2">
        <v>243</v>
      </c>
      <c r="B244" s="6">
        <v>74</v>
      </c>
      <c r="C244" s="8" t="s">
        <v>3</v>
      </c>
      <c r="D244" s="6">
        <v>57</v>
      </c>
      <c r="E244" s="6">
        <v>8</v>
      </c>
      <c r="F244" s="8" t="s">
        <v>4</v>
      </c>
      <c r="G244" s="8" t="s">
        <v>2</v>
      </c>
      <c r="H244" s="4">
        <v>1.1000000000000001</v>
      </c>
      <c r="I244" s="10">
        <v>3591.65</v>
      </c>
      <c r="J244" s="6">
        <v>1</v>
      </c>
      <c r="K244" s="6">
        <v>0</v>
      </c>
    </row>
    <row r="245" spans="1:11" x14ac:dyDescent="0.2">
      <c r="A245" s="2">
        <v>244</v>
      </c>
      <c r="B245" s="6">
        <v>69</v>
      </c>
      <c r="C245" s="8" t="s">
        <v>3</v>
      </c>
      <c r="D245" s="6">
        <v>17</v>
      </c>
      <c r="E245" s="6">
        <v>7</v>
      </c>
      <c r="F245" s="8" t="s">
        <v>4</v>
      </c>
      <c r="G245" s="8" t="s">
        <v>5</v>
      </c>
      <c r="H245" s="4">
        <v>1.3</v>
      </c>
      <c r="I245" s="10">
        <v>44231.51</v>
      </c>
      <c r="J245" s="6">
        <v>8</v>
      </c>
      <c r="K245" s="6">
        <v>0</v>
      </c>
    </row>
    <row r="246" spans="1:11" x14ac:dyDescent="0.2">
      <c r="A246" s="2">
        <v>245</v>
      </c>
      <c r="B246" s="6">
        <v>30</v>
      </c>
      <c r="C246" s="8" t="s">
        <v>3</v>
      </c>
      <c r="D246" s="6">
        <v>39</v>
      </c>
      <c r="E246" s="6">
        <v>16</v>
      </c>
      <c r="F246" s="8" t="s">
        <v>4</v>
      </c>
      <c r="G246" s="8" t="s">
        <v>2</v>
      </c>
      <c r="H246" s="4">
        <v>4.5999999999999996</v>
      </c>
      <c r="I246" s="10">
        <v>22691.79</v>
      </c>
      <c r="J246" s="6">
        <v>8</v>
      </c>
      <c r="K246" s="6">
        <v>1</v>
      </c>
    </row>
    <row r="247" spans="1:11" x14ac:dyDescent="0.2">
      <c r="A247" s="2">
        <v>246</v>
      </c>
      <c r="B247" s="6">
        <v>58</v>
      </c>
      <c r="C247" s="8" t="s">
        <v>0</v>
      </c>
      <c r="D247" s="6">
        <v>22</v>
      </c>
      <c r="E247" s="6">
        <v>0</v>
      </c>
      <c r="F247" s="8" t="s">
        <v>4</v>
      </c>
      <c r="G247" s="8" t="s">
        <v>2</v>
      </c>
      <c r="H247" s="4">
        <v>1.6</v>
      </c>
      <c r="I247" s="10">
        <v>25766.41</v>
      </c>
      <c r="J247" s="6">
        <v>5</v>
      </c>
      <c r="K247" s="6">
        <v>0</v>
      </c>
    </row>
    <row r="248" spans="1:11" x14ac:dyDescent="0.2">
      <c r="A248" s="2">
        <v>247</v>
      </c>
      <c r="B248" s="6">
        <v>20</v>
      </c>
      <c r="C248" s="8" t="s">
        <v>0</v>
      </c>
      <c r="D248" s="6">
        <v>26</v>
      </c>
      <c r="E248" s="6">
        <v>10</v>
      </c>
      <c r="F248" s="8" t="s">
        <v>4</v>
      </c>
      <c r="G248" s="8" t="s">
        <v>2</v>
      </c>
      <c r="H248" s="4">
        <v>3.1</v>
      </c>
      <c r="I248" s="10">
        <v>31516.33</v>
      </c>
      <c r="J248" s="6">
        <v>5</v>
      </c>
      <c r="K248" s="6">
        <v>0</v>
      </c>
    </row>
    <row r="249" spans="1:11" x14ac:dyDescent="0.2">
      <c r="A249" s="2">
        <v>248</v>
      </c>
      <c r="B249" s="6">
        <v>56</v>
      </c>
      <c r="C249" s="8" t="s">
        <v>3</v>
      </c>
      <c r="D249" s="6">
        <v>44</v>
      </c>
      <c r="E249" s="6">
        <v>7</v>
      </c>
      <c r="F249" s="8" t="s">
        <v>1</v>
      </c>
      <c r="G249" s="8" t="s">
        <v>5</v>
      </c>
      <c r="H249" s="4">
        <v>2.6</v>
      </c>
      <c r="I249" s="10">
        <v>46355.94</v>
      </c>
      <c r="J249" s="6">
        <v>3</v>
      </c>
      <c r="K249" s="6">
        <v>1</v>
      </c>
    </row>
    <row r="250" spans="1:11" x14ac:dyDescent="0.2">
      <c r="A250" s="2">
        <v>249</v>
      </c>
      <c r="B250" s="6">
        <v>23</v>
      </c>
      <c r="C250" s="8" t="s">
        <v>3</v>
      </c>
      <c r="D250" s="6">
        <v>25</v>
      </c>
      <c r="E250" s="6">
        <v>9</v>
      </c>
      <c r="F250" s="8" t="s">
        <v>1</v>
      </c>
      <c r="G250" s="8" t="s">
        <v>6</v>
      </c>
      <c r="H250" s="4">
        <v>2.4</v>
      </c>
      <c r="I250" s="10">
        <v>1446.25</v>
      </c>
      <c r="J250" s="6">
        <v>3</v>
      </c>
      <c r="K250" s="6">
        <v>1</v>
      </c>
    </row>
    <row r="251" spans="1:11" x14ac:dyDescent="0.2">
      <c r="A251" s="2">
        <v>250</v>
      </c>
      <c r="B251" s="6">
        <v>25</v>
      </c>
      <c r="C251" s="8" t="s">
        <v>3</v>
      </c>
      <c r="D251" s="6">
        <v>17</v>
      </c>
      <c r="E251" s="6">
        <v>6</v>
      </c>
      <c r="F251" s="8" t="s">
        <v>1</v>
      </c>
      <c r="G251" s="8" t="s">
        <v>2</v>
      </c>
      <c r="H251" s="4">
        <v>4.5999999999999996</v>
      </c>
      <c r="I251" s="10">
        <v>24103.75</v>
      </c>
      <c r="J251" s="6">
        <v>4</v>
      </c>
      <c r="K251" s="6">
        <v>1</v>
      </c>
    </row>
    <row r="252" spans="1:11" x14ac:dyDescent="0.2">
      <c r="A252" s="2">
        <v>251</v>
      </c>
      <c r="B252" s="6">
        <v>44</v>
      </c>
      <c r="C252" s="8" t="s">
        <v>3</v>
      </c>
      <c r="D252" s="6">
        <v>13</v>
      </c>
      <c r="E252" s="6">
        <v>2</v>
      </c>
      <c r="F252" s="8" t="s">
        <v>1</v>
      </c>
      <c r="G252" s="8" t="s">
        <v>6</v>
      </c>
      <c r="H252" s="4">
        <v>1.1000000000000001</v>
      </c>
      <c r="I252" s="10">
        <v>34542.239999999998</v>
      </c>
      <c r="J252" s="6">
        <v>2</v>
      </c>
      <c r="K252" s="6">
        <v>0</v>
      </c>
    </row>
    <row r="253" spans="1:11" x14ac:dyDescent="0.2">
      <c r="A253" s="2">
        <v>252</v>
      </c>
      <c r="B253" s="6">
        <v>26</v>
      </c>
      <c r="C253" s="8" t="s">
        <v>0</v>
      </c>
      <c r="D253" s="6">
        <v>20</v>
      </c>
      <c r="E253" s="6">
        <v>2</v>
      </c>
      <c r="F253" s="8" t="s">
        <v>1</v>
      </c>
      <c r="G253" s="8" t="s">
        <v>6</v>
      </c>
      <c r="H253" s="4">
        <v>3.7</v>
      </c>
      <c r="I253" s="10">
        <v>36273.99</v>
      </c>
      <c r="J253" s="6">
        <v>0</v>
      </c>
      <c r="K253" s="6">
        <v>0</v>
      </c>
    </row>
    <row r="254" spans="1:11" x14ac:dyDescent="0.2">
      <c r="A254" s="2">
        <v>253</v>
      </c>
      <c r="B254" s="6">
        <v>79</v>
      </c>
      <c r="C254" s="8" t="s">
        <v>0</v>
      </c>
      <c r="D254" s="6">
        <v>25</v>
      </c>
      <c r="E254" s="6">
        <v>17</v>
      </c>
      <c r="F254" s="8" t="s">
        <v>1</v>
      </c>
      <c r="G254" s="8" t="s">
        <v>5</v>
      </c>
      <c r="H254" s="4">
        <v>4.9000000000000004</v>
      </c>
      <c r="I254" s="10">
        <v>34780.36</v>
      </c>
      <c r="J254" s="6">
        <v>0</v>
      </c>
      <c r="K254" s="6">
        <v>0</v>
      </c>
    </row>
    <row r="255" spans="1:11" x14ac:dyDescent="0.2">
      <c r="A255" s="2">
        <v>254</v>
      </c>
      <c r="B255" s="6">
        <v>54</v>
      </c>
      <c r="C255" s="8" t="s">
        <v>3</v>
      </c>
      <c r="D255" s="6">
        <v>4</v>
      </c>
      <c r="E255" s="6">
        <v>4</v>
      </c>
      <c r="F255" s="8" t="s">
        <v>1</v>
      </c>
      <c r="G255" s="8" t="s">
        <v>6</v>
      </c>
      <c r="H255" s="4">
        <v>3.2</v>
      </c>
      <c r="I255" s="10">
        <v>7154.54</v>
      </c>
      <c r="J255" s="6">
        <v>6</v>
      </c>
      <c r="K255" s="6">
        <v>0</v>
      </c>
    </row>
    <row r="256" spans="1:11" x14ac:dyDescent="0.2">
      <c r="A256" s="2">
        <v>255</v>
      </c>
      <c r="B256" s="6">
        <v>50</v>
      </c>
      <c r="C256" s="8" t="s">
        <v>3</v>
      </c>
      <c r="D256" s="6">
        <v>10</v>
      </c>
      <c r="E256" s="6">
        <v>11</v>
      </c>
      <c r="F256" s="8" t="s">
        <v>4</v>
      </c>
      <c r="G256" s="8" t="s">
        <v>6</v>
      </c>
      <c r="H256" s="4">
        <v>4.7</v>
      </c>
      <c r="I256" s="10">
        <v>15320.08</v>
      </c>
      <c r="J256" s="6">
        <v>0</v>
      </c>
      <c r="K256" s="6">
        <v>0</v>
      </c>
    </row>
    <row r="257" spans="1:11" x14ac:dyDescent="0.2">
      <c r="A257" s="2">
        <v>256</v>
      </c>
      <c r="B257" s="6">
        <v>68</v>
      </c>
      <c r="C257" s="8" t="s">
        <v>0</v>
      </c>
      <c r="D257" s="6">
        <v>3</v>
      </c>
      <c r="E257" s="6">
        <v>11</v>
      </c>
      <c r="F257" s="8" t="s">
        <v>4</v>
      </c>
      <c r="G257" s="8" t="s">
        <v>5</v>
      </c>
      <c r="H257" s="4">
        <v>1.2</v>
      </c>
      <c r="I257" s="10">
        <v>18256.419999999998</v>
      </c>
      <c r="J257" s="6">
        <v>0</v>
      </c>
      <c r="K257" s="6">
        <v>0</v>
      </c>
    </row>
    <row r="258" spans="1:11" x14ac:dyDescent="0.2">
      <c r="A258" s="2">
        <v>257</v>
      </c>
      <c r="B258" s="6">
        <v>59</v>
      </c>
      <c r="C258" s="8" t="s">
        <v>0</v>
      </c>
      <c r="D258" s="6">
        <v>41</v>
      </c>
      <c r="E258" s="6">
        <v>18</v>
      </c>
      <c r="F258" s="8" t="s">
        <v>4</v>
      </c>
      <c r="G258" s="8" t="s">
        <v>2</v>
      </c>
      <c r="H258" s="4">
        <v>2.7</v>
      </c>
      <c r="I258" s="10">
        <v>40319.64</v>
      </c>
      <c r="J258" s="6">
        <v>2</v>
      </c>
      <c r="K258" s="6">
        <v>1</v>
      </c>
    </row>
    <row r="259" spans="1:11" x14ac:dyDescent="0.2">
      <c r="A259" s="2">
        <v>258</v>
      </c>
      <c r="B259" s="6">
        <v>61</v>
      </c>
      <c r="C259" s="8" t="s">
        <v>3</v>
      </c>
      <c r="D259" s="6">
        <v>45</v>
      </c>
      <c r="E259" s="6">
        <v>5</v>
      </c>
      <c r="F259" s="8" t="s">
        <v>4</v>
      </c>
      <c r="G259" s="8" t="s">
        <v>6</v>
      </c>
      <c r="H259" s="4">
        <v>2</v>
      </c>
      <c r="I259" s="10">
        <v>14298.61</v>
      </c>
      <c r="J259" s="6">
        <v>9</v>
      </c>
      <c r="K259" s="6">
        <v>0</v>
      </c>
    </row>
    <row r="260" spans="1:11" x14ac:dyDescent="0.2">
      <c r="A260" s="2">
        <v>259</v>
      </c>
      <c r="B260" s="6">
        <v>41</v>
      </c>
      <c r="C260" s="8" t="s">
        <v>3</v>
      </c>
      <c r="D260" s="6">
        <v>18</v>
      </c>
      <c r="E260" s="6">
        <v>1</v>
      </c>
      <c r="F260" s="8" t="s">
        <v>1</v>
      </c>
      <c r="G260" s="8" t="s">
        <v>5</v>
      </c>
      <c r="H260" s="4">
        <v>3.9</v>
      </c>
      <c r="I260" s="10">
        <v>10929.9</v>
      </c>
      <c r="J260" s="6">
        <v>3</v>
      </c>
      <c r="K260" s="6">
        <v>0</v>
      </c>
    </row>
    <row r="261" spans="1:11" x14ac:dyDescent="0.2">
      <c r="A261" s="2">
        <v>260</v>
      </c>
      <c r="B261" s="6">
        <v>32</v>
      </c>
      <c r="C261" s="8" t="s">
        <v>3</v>
      </c>
      <c r="D261" s="6">
        <v>47</v>
      </c>
      <c r="E261" s="6">
        <v>11</v>
      </c>
      <c r="F261" s="8" t="s">
        <v>1</v>
      </c>
      <c r="G261" s="8" t="s">
        <v>6</v>
      </c>
      <c r="H261" s="4">
        <v>4.9000000000000004</v>
      </c>
      <c r="I261" s="10">
        <v>47893.68</v>
      </c>
      <c r="J261" s="6">
        <v>3</v>
      </c>
      <c r="K261" s="6">
        <v>0</v>
      </c>
    </row>
    <row r="262" spans="1:11" x14ac:dyDescent="0.2">
      <c r="A262" s="2">
        <v>261</v>
      </c>
      <c r="B262" s="6">
        <v>76</v>
      </c>
      <c r="C262" s="8" t="s">
        <v>0</v>
      </c>
      <c r="D262" s="6">
        <v>36</v>
      </c>
      <c r="E262" s="6">
        <v>18</v>
      </c>
      <c r="F262" s="8" t="s">
        <v>1</v>
      </c>
      <c r="G262" s="8" t="s">
        <v>6</v>
      </c>
      <c r="H262" s="4">
        <v>2</v>
      </c>
      <c r="I262" s="10">
        <v>938.73</v>
      </c>
      <c r="J262" s="6">
        <v>1</v>
      </c>
      <c r="K262" s="6">
        <v>0</v>
      </c>
    </row>
    <row r="263" spans="1:11" x14ac:dyDescent="0.2">
      <c r="A263" s="2">
        <v>262</v>
      </c>
      <c r="B263" s="6">
        <v>71</v>
      </c>
      <c r="C263" s="8" t="s">
        <v>0</v>
      </c>
      <c r="D263" s="6">
        <v>47</v>
      </c>
      <c r="E263" s="6">
        <v>4</v>
      </c>
      <c r="F263" s="8" t="s">
        <v>4</v>
      </c>
      <c r="G263" s="8" t="s">
        <v>2</v>
      </c>
      <c r="H263" s="4">
        <v>3.6</v>
      </c>
      <c r="I263" s="10">
        <v>49892.13</v>
      </c>
      <c r="J263" s="6">
        <v>0</v>
      </c>
      <c r="K263" s="6">
        <v>0</v>
      </c>
    </row>
    <row r="264" spans="1:11" x14ac:dyDescent="0.2">
      <c r="A264" s="2">
        <v>263</v>
      </c>
      <c r="B264" s="6">
        <v>49</v>
      </c>
      <c r="C264" s="8" t="s">
        <v>0</v>
      </c>
      <c r="D264" s="6">
        <v>22</v>
      </c>
      <c r="E264" s="6">
        <v>11</v>
      </c>
      <c r="F264" s="8" t="s">
        <v>1</v>
      </c>
      <c r="G264" s="8" t="s">
        <v>6</v>
      </c>
      <c r="H264" s="4">
        <v>1.8</v>
      </c>
      <c r="I264" s="10">
        <v>34002.65</v>
      </c>
      <c r="J264" s="6">
        <v>2</v>
      </c>
      <c r="K264" s="6">
        <v>1</v>
      </c>
    </row>
    <row r="265" spans="1:11" x14ac:dyDescent="0.2">
      <c r="A265" s="2">
        <v>264</v>
      </c>
      <c r="B265" s="6">
        <v>49</v>
      </c>
      <c r="C265" s="8" t="s">
        <v>3</v>
      </c>
      <c r="D265" s="6">
        <v>34</v>
      </c>
      <c r="E265" s="6">
        <v>16</v>
      </c>
      <c r="F265" s="8" t="s">
        <v>1</v>
      </c>
      <c r="G265" s="8" t="s">
        <v>5</v>
      </c>
      <c r="H265" s="4">
        <v>3.3</v>
      </c>
      <c r="I265" s="10">
        <v>41509.230000000003</v>
      </c>
      <c r="J265" s="6">
        <v>3</v>
      </c>
      <c r="K265" s="6">
        <v>0</v>
      </c>
    </row>
    <row r="266" spans="1:11" x14ac:dyDescent="0.2">
      <c r="A266" s="2">
        <v>265</v>
      </c>
      <c r="B266" s="6">
        <v>41</v>
      </c>
      <c r="C266" s="8" t="s">
        <v>3</v>
      </c>
      <c r="D266" s="6">
        <v>47</v>
      </c>
      <c r="E266" s="6">
        <v>16</v>
      </c>
      <c r="F266" s="8" t="s">
        <v>1</v>
      </c>
      <c r="G266" s="8" t="s">
        <v>6</v>
      </c>
      <c r="H266" s="4">
        <v>2.9</v>
      </c>
      <c r="I266" s="10">
        <v>15083.66</v>
      </c>
      <c r="J266" s="6">
        <v>2</v>
      </c>
      <c r="K266" s="6">
        <v>1</v>
      </c>
    </row>
    <row r="267" spans="1:11" x14ac:dyDescent="0.2">
      <c r="A267" s="2">
        <v>266</v>
      </c>
      <c r="B267" s="6">
        <v>58</v>
      </c>
      <c r="C267" s="8" t="s">
        <v>0</v>
      </c>
      <c r="D267" s="6">
        <v>8</v>
      </c>
      <c r="E267" s="6">
        <v>9</v>
      </c>
      <c r="F267" s="8" t="s">
        <v>4</v>
      </c>
      <c r="G267" s="8" t="s">
        <v>2</v>
      </c>
      <c r="H267" s="4">
        <v>4.9000000000000004</v>
      </c>
      <c r="I267" s="10">
        <v>1208.6099999999999</v>
      </c>
      <c r="J267" s="6">
        <v>7</v>
      </c>
      <c r="K267" s="6">
        <v>0</v>
      </c>
    </row>
    <row r="268" spans="1:11" x14ac:dyDescent="0.2">
      <c r="A268" s="2">
        <v>267</v>
      </c>
      <c r="B268" s="6">
        <v>69</v>
      </c>
      <c r="C268" s="8" t="s">
        <v>0</v>
      </c>
      <c r="D268" s="6">
        <v>40</v>
      </c>
      <c r="E268" s="6">
        <v>16</v>
      </c>
      <c r="F268" s="8" t="s">
        <v>1</v>
      </c>
      <c r="G268" s="8" t="s">
        <v>2</v>
      </c>
      <c r="H268" s="4">
        <v>3.4</v>
      </c>
      <c r="I268" s="10">
        <v>37024.54</v>
      </c>
      <c r="J268" s="6">
        <v>9</v>
      </c>
      <c r="K268" s="6">
        <v>1</v>
      </c>
    </row>
    <row r="269" spans="1:11" x14ac:dyDescent="0.2">
      <c r="A269" s="2">
        <v>268</v>
      </c>
      <c r="B269" s="6">
        <v>66</v>
      </c>
      <c r="C269" s="8" t="s">
        <v>3</v>
      </c>
      <c r="D269" s="6">
        <v>49</v>
      </c>
      <c r="E269" s="6">
        <v>14</v>
      </c>
      <c r="F269" s="8" t="s">
        <v>4</v>
      </c>
      <c r="G269" s="8" t="s">
        <v>5</v>
      </c>
      <c r="H269" s="4">
        <v>2.4</v>
      </c>
      <c r="I269" s="10">
        <v>41790.160000000003</v>
      </c>
      <c r="J269" s="6">
        <v>0</v>
      </c>
      <c r="K269" s="6">
        <v>0</v>
      </c>
    </row>
    <row r="270" spans="1:11" x14ac:dyDescent="0.2">
      <c r="A270" s="2">
        <v>269</v>
      </c>
      <c r="B270" s="6">
        <v>79</v>
      </c>
      <c r="C270" s="8" t="s">
        <v>0</v>
      </c>
      <c r="D270" s="6">
        <v>44</v>
      </c>
      <c r="E270" s="6">
        <v>11</v>
      </c>
      <c r="F270" s="8" t="s">
        <v>4</v>
      </c>
      <c r="G270" s="8" t="s">
        <v>2</v>
      </c>
      <c r="H270" s="4">
        <v>1.5</v>
      </c>
      <c r="I270" s="10">
        <v>37153.57</v>
      </c>
      <c r="J270" s="6">
        <v>1</v>
      </c>
      <c r="K270" s="6">
        <v>0</v>
      </c>
    </row>
    <row r="271" spans="1:11" x14ac:dyDescent="0.2">
      <c r="A271" s="2">
        <v>270</v>
      </c>
      <c r="B271" s="6">
        <v>66</v>
      </c>
      <c r="C271" s="8" t="s">
        <v>0</v>
      </c>
      <c r="D271" s="6">
        <v>19</v>
      </c>
      <c r="E271" s="6">
        <v>15</v>
      </c>
      <c r="F271" s="8" t="s">
        <v>4</v>
      </c>
      <c r="G271" s="8" t="s">
        <v>6</v>
      </c>
      <c r="H271" s="4">
        <v>1.6</v>
      </c>
      <c r="I271" s="10">
        <v>7571.09</v>
      </c>
      <c r="J271" s="6">
        <v>6</v>
      </c>
      <c r="K271" s="6">
        <v>0</v>
      </c>
    </row>
    <row r="272" spans="1:11" x14ac:dyDescent="0.2">
      <c r="A272" s="2">
        <v>271</v>
      </c>
      <c r="B272" s="6">
        <v>75</v>
      </c>
      <c r="C272" s="8" t="s">
        <v>3</v>
      </c>
      <c r="D272" s="6">
        <v>42</v>
      </c>
      <c r="E272" s="6">
        <v>18</v>
      </c>
      <c r="F272" s="8" t="s">
        <v>4</v>
      </c>
      <c r="G272" s="8" t="s">
        <v>2</v>
      </c>
      <c r="H272" s="4">
        <v>1.9</v>
      </c>
      <c r="I272" s="10">
        <v>37794.68</v>
      </c>
      <c r="J272" s="6">
        <v>3</v>
      </c>
      <c r="K272" s="6">
        <v>1</v>
      </c>
    </row>
    <row r="273" spans="1:11" x14ac:dyDescent="0.2">
      <c r="A273" s="2">
        <v>272</v>
      </c>
      <c r="B273" s="6">
        <v>69</v>
      </c>
      <c r="C273" s="8" t="s">
        <v>0</v>
      </c>
      <c r="D273" s="6">
        <v>41</v>
      </c>
      <c r="E273" s="6">
        <v>7</v>
      </c>
      <c r="F273" s="8" t="s">
        <v>1</v>
      </c>
      <c r="G273" s="8" t="s">
        <v>5</v>
      </c>
      <c r="H273" s="4">
        <v>2</v>
      </c>
      <c r="I273" s="10">
        <v>38561.68</v>
      </c>
      <c r="J273" s="6">
        <v>7</v>
      </c>
      <c r="K273" s="6">
        <v>0</v>
      </c>
    </row>
    <row r="274" spans="1:11" x14ac:dyDescent="0.2">
      <c r="A274" s="2">
        <v>273</v>
      </c>
      <c r="B274" s="6">
        <v>29</v>
      </c>
      <c r="C274" s="8" t="s">
        <v>3</v>
      </c>
      <c r="D274" s="6">
        <v>37</v>
      </c>
      <c r="E274" s="6">
        <v>16</v>
      </c>
      <c r="F274" s="8" t="s">
        <v>4</v>
      </c>
      <c r="G274" s="8" t="s">
        <v>2</v>
      </c>
      <c r="H274" s="4">
        <v>4.4000000000000004</v>
      </c>
      <c r="I274" s="10">
        <v>33097.760000000002</v>
      </c>
      <c r="J274" s="6">
        <v>2</v>
      </c>
      <c r="K274" s="6">
        <v>0</v>
      </c>
    </row>
    <row r="275" spans="1:11" x14ac:dyDescent="0.2">
      <c r="A275" s="2">
        <v>274</v>
      </c>
      <c r="B275" s="6">
        <v>79</v>
      </c>
      <c r="C275" s="8" t="s">
        <v>3</v>
      </c>
      <c r="D275" s="6">
        <v>6</v>
      </c>
      <c r="E275" s="6">
        <v>4</v>
      </c>
      <c r="F275" s="8" t="s">
        <v>4</v>
      </c>
      <c r="G275" s="8" t="s">
        <v>2</v>
      </c>
      <c r="H275" s="4">
        <v>3.2</v>
      </c>
      <c r="I275" s="10">
        <v>38422.74</v>
      </c>
      <c r="J275" s="6">
        <v>5</v>
      </c>
      <c r="K275" s="6">
        <v>1</v>
      </c>
    </row>
    <row r="276" spans="1:11" x14ac:dyDescent="0.2">
      <c r="A276" s="2">
        <v>275</v>
      </c>
      <c r="B276" s="6">
        <v>56</v>
      </c>
      <c r="C276" s="8" t="s">
        <v>3</v>
      </c>
      <c r="D276" s="6">
        <v>52</v>
      </c>
      <c r="E276" s="6">
        <v>15</v>
      </c>
      <c r="F276" s="8" t="s">
        <v>1</v>
      </c>
      <c r="G276" s="8" t="s">
        <v>2</v>
      </c>
      <c r="H276" s="4">
        <v>3.1</v>
      </c>
      <c r="I276" s="10">
        <v>42373.11</v>
      </c>
      <c r="J276" s="6">
        <v>8</v>
      </c>
      <c r="K276" s="6">
        <v>1</v>
      </c>
    </row>
    <row r="277" spans="1:11" x14ac:dyDescent="0.2">
      <c r="A277" s="2">
        <v>276</v>
      </c>
      <c r="B277" s="6">
        <v>19</v>
      </c>
      <c r="C277" s="8" t="s">
        <v>3</v>
      </c>
      <c r="D277" s="6">
        <v>26</v>
      </c>
      <c r="E277" s="6">
        <v>5</v>
      </c>
      <c r="F277" s="8" t="s">
        <v>1</v>
      </c>
      <c r="G277" s="8" t="s">
        <v>5</v>
      </c>
      <c r="H277" s="4">
        <v>1.5</v>
      </c>
      <c r="I277" s="10">
        <v>30873.4</v>
      </c>
      <c r="J277" s="6">
        <v>0</v>
      </c>
      <c r="K277" s="6">
        <v>0</v>
      </c>
    </row>
    <row r="278" spans="1:11" x14ac:dyDescent="0.2">
      <c r="A278" s="2">
        <v>277</v>
      </c>
      <c r="B278" s="6">
        <v>20</v>
      </c>
      <c r="C278" s="8" t="s">
        <v>3</v>
      </c>
      <c r="D278" s="6">
        <v>34</v>
      </c>
      <c r="E278" s="6">
        <v>7</v>
      </c>
      <c r="F278" s="8" t="s">
        <v>4</v>
      </c>
      <c r="G278" s="8" t="s">
        <v>2</v>
      </c>
      <c r="H278" s="4">
        <v>4.4000000000000004</v>
      </c>
      <c r="I278" s="10">
        <v>4885.93</v>
      </c>
      <c r="J278" s="6">
        <v>0</v>
      </c>
      <c r="K278" s="6">
        <v>0</v>
      </c>
    </row>
    <row r="279" spans="1:11" x14ac:dyDescent="0.2">
      <c r="A279" s="2">
        <v>278</v>
      </c>
      <c r="B279" s="6">
        <v>66</v>
      </c>
      <c r="C279" s="8" t="s">
        <v>3</v>
      </c>
      <c r="D279" s="6">
        <v>59</v>
      </c>
      <c r="E279" s="6">
        <v>17</v>
      </c>
      <c r="F279" s="8" t="s">
        <v>1</v>
      </c>
      <c r="G279" s="8" t="s">
        <v>2</v>
      </c>
      <c r="H279" s="4">
        <v>3.9</v>
      </c>
      <c r="I279" s="10">
        <v>24637.58</v>
      </c>
      <c r="J279" s="6">
        <v>7</v>
      </c>
      <c r="K279" s="6">
        <v>0</v>
      </c>
    </row>
    <row r="280" spans="1:11" x14ac:dyDescent="0.2">
      <c r="A280" s="2">
        <v>279</v>
      </c>
      <c r="B280" s="6">
        <v>54</v>
      </c>
      <c r="C280" s="8" t="s">
        <v>3</v>
      </c>
      <c r="D280" s="6">
        <v>56</v>
      </c>
      <c r="E280" s="6">
        <v>11</v>
      </c>
      <c r="F280" s="8" t="s">
        <v>4</v>
      </c>
      <c r="G280" s="8" t="s">
        <v>6</v>
      </c>
      <c r="H280" s="4">
        <v>1.3</v>
      </c>
      <c r="I280" s="10">
        <v>4343.6400000000003</v>
      </c>
      <c r="J280" s="6">
        <v>2</v>
      </c>
      <c r="K280" s="6">
        <v>0</v>
      </c>
    </row>
    <row r="281" spans="1:11" x14ac:dyDescent="0.2">
      <c r="A281" s="2">
        <v>280</v>
      </c>
      <c r="B281" s="6">
        <v>66</v>
      </c>
      <c r="C281" s="8" t="s">
        <v>0</v>
      </c>
      <c r="D281" s="6">
        <v>59</v>
      </c>
      <c r="E281" s="6">
        <v>14</v>
      </c>
      <c r="F281" s="8" t="s">
        <v>4</v>
      </c>
      <c r="G281" s="8" t="s">
        <v>5</v>
      </c>
      <c r="H281" s="4">
        <v>3.8</v>
      </c>
      <c r="I281" s="10">
        <v>20673.38</v>
      </c>
      <c r="J281" s="6">
        <v>4</v>
      </c>
      <c r="K281" s="6">
        <v>0</v>
      </c>
    </row>
    <row r="282" spans="1:11" x14ac:dyDescent="0.2">
      <c r="A282" s="2">
        <v>281</v>
      </c>
      <c r="B282" s="6">
        <v>73</v>
      </c>
      <c r="C282" s="8" t="s">
        <v>3</v>
      </c>
      <c r="D282" s="6">
        <v>45</v>
      </c>
      <c r="E282" s="6">
        <v>8</v>
      </c>
      <c r="F282" s="8" t="s">
        <v>4</v>
      </c>
      <c r="G282" s="8" t="s">
        <v>2</v>
      </c>
      <c r="H282" s="4">
        <v>3.2</v>
      </c>
      <c r="I282" s="10">
        <v>20651.77</v>
      </c>
      <c r="J282" s="6">
        <v>0</v>
      </c>
      <c r="K282" s="6">
        <v>1</v>
      </c>
    </row>
    <row r="283" spans="1:11" x14ac:dyDescent="0.2">
      <c r="A283" s="2">
        <v>282</v>
      </c>
      <c r="B283" s="6">
        <v>34</v>
      </c>
      <c r="C283" s="8" t="s">
        <v>3</v>
      </c>
      <c r="D283" s="6">
        <v>6</v>
      </c>
      <c r="E283" s="6">
        <v>12</v>
      </c>
      <c r="F283" s="8" t="s">
        <v>4</v>
      </c>
      <c r="G283" s="8" t="s">
        <v>5</v>
      </c>
      <c r="H283" s="4">
        <v>1.3</v>
      </c>
      <c r="I283" s="10">
        <v>3767.49</v>
      </c>
      <c r="J283" s="6">
        <v>4</v>
      </c>
      <c r="K283" s="6">
        <v>1</v>
      </c>
    </row>
    <row r="284" spans="1:11" x14ac:dyDescent="0.2">
      <c r="A284" s="2">
        <v>283</v>
      </c>
      <c r="B284" s="6">
        <v>76</v>
      </c>
      <c r="C284" s="8" t="s">
        <v>0</v>
      </c>
      <c r="D284" s="6">
        <v>37</v>
      </c>
      <c r="E284" s="6">
        <v>14</v>
      </c>
      <c r="F284" s="8" t="s">
        <v>1</v>
      </c>
      <c r="G284" s="8" t="s">
        <v>2</v>
      </c>
      <c r="H284" s="4">
        <v>2.8</v>
      </c>
      <c r="I284" s="10">
        <v>17766.62</v>
      </c>
      <c r="J284" s="6">
        <v>5</v>
      </c>
      <c r="K284" s="6">
        <v>0</v>
      </c>
    </row>
    <row r="285" spans="1:11" x14ac:dyDescent="0.2">
      <c r="A285" s="2">
        <v>284</v>
      </c>
      <c r="B285" s="6">
        <v>66</v>
      </c>
      <c r="C285" s="8" t="s">
        <v>0</v>
      </c>
      <c r="D285" s="6">
        <v>57</v>
      </c>
      <c r="E285" s="6">
        <v>9</v>
      </c>
      <c r="F285" s="8" t="s">
        <v>4</v>
      </c>
      <c r="G285" s="8" t="s">
        <v>2</v>
      </c>
      <c r="H285" s="4">
        <v>2.9</v>
      </c>
      <c r="I285" s="10">
        <v>5994.41</v>
      </c>
      <c r="J285" s="6">
        <v>7</v>
      </c>
      <c r="K285" s="6">
        <v>0</v>
      </c>
    </row>
    <row r="286" spans="1:11" x14ac:dyDescent="0.2">
      <c r="A286" s="2">
        <v>285</v>
      </c>
      <c r="B286" s="6">
        <v>19</v>
      </c>
      <c r="C286" s="8" t="s">
        <v>0</v>
      </c>
      <c r="D286" s="6">
        <v>33</v>
      </c>
      <c r="E286" s="6">
        <v>15</v>
      </c>
      <c r="F286" s="8" t="s">
        <v>1</v>
      </c>
      <c r="G286" s="8" t="s">
        <v>2</v>
      </c>
      <c r="H286" s="4">
        <v>1.7</v>
      </c>
      <c r="I286" s="10">
        <v>40507.64</v>
      </c>
      <c r="J286" s="6">
        <v>2</v>
      </c>
      <c r="K286" s="6">
        <v>0</v>
      </c>
    </row>
    <row r="287" spans="1:11" x14ac:dyDescent="0.2">
      <c r="A287" s="2">
        <v>286</v>
      </c>
      <c r="B287" s="6">
        <v>19</v>
      </c>
      <c r="C287" s="8" t="s">
        <v>3</v>
      </c>
      <c r="D287" s="6">
        <v>53</v>
      </c>
      <c r="E287" s="6">
        <v>6</v>
      </c>
      <c r="F287" s="8" t="s">
        <v>1</v>
      </c>
      <c r="G287" s="8" t="s">
        <v>6</v>
      </c>
      <c r="H287" s="4">
        <v>4.8</v>
      </c>
      <c r="I287" s="10">
        <v>47410.559999999998</v>
      </c>
      <c r="J287" s="6">
        <v>2</v>
      </c>
      <c r="K287" s="6">
        <v>1</v>
      </c>
    </row>
    <row r="288" spans="1:11" x14ac:dyDescent="0.2">
      <c r="A288" s="2">
        <v>287</v>
      </c>
      <c r="B288" s="6">
        <v>45</v>
      </c>
      <c r="C288" s="8" t="s">
        <v>0</v>
      </c>
      <c r="D288" s="6">
        <v>22</v>
      </c>
      <c r="E288" s="6">
        <v>16</v>
      </c>
      <c r="F288" s="8" t="s">
        <v>1</v>
      </c>
      <c r="G288" s="8" t="s">
        <v>6</v>
      </c>
      <c r="H288" s="4">
        <v>4.4000000000000004</v>
      </c>
      <c r="I288" s="10">
        <v>4079.67</v>
      </c>
      <c r="J288" s="6">
        <v>9</v>
      </c>
      <c r="K288" s="6">
        <v>1</v>
      </c>
    </row>
    <row r="289" spans="1:11" x14ac:dyDescent="0.2">
      <c r="A289" s="2">
        <v>288</v>
      </c>
      <c r="B289" s="6">
        <v>71</v>
      </c>
      <c r="C289" s="8" t="s">
        <v>3</v>
      </c>
      <c r="D289" s="6">
        <v>21</v>
      </c>
      <c r="E289" s="6">
        <v>6</v>
      </c>
      <c r="F289" s="8" t="s">
        <v>1</v>
      </c>
      <c r="G289" s="8" t="s">
        <v>6</v>
      </c>
      <c r="H289" s="4">
        <v>3.7</v>
      </c>
      <c r="I289" s="10">
        <v>47778.2</v>
      </c>
      <c r="J289" s="6">
        <v>8</v>
      </c>
      <c r="K289" s="6">
        <v>0</v>
      </c>
    </row>
    <row r="290" spans="1:11" x14ac:dyDescent="0.2">
      <c r="A290" s="2">
        <v>289</v>
      </c>
      <c r="B290" s="6">
        <v>40</v>
      </c>
      <c r="C290" s="8" t="s">
        <v>3</v>
      </c>
      <c r="D290" s="6">
        <v>6</v>
      </c>
      <c r="E290" s="6">
        <v>13</v>
      </c>
      <c r="F290" s="8" t="s">
        <v>4</v>
      </c>
      <c r="G290" s="8" t="s">
        <v>5</v>
      </c>
      <c r="H290" s="4">
        <v>2.8</v>
      </c>
      <c r="I290" s="10">
        <v>26367.54</v>
      </c>
      <c r="J290" s="6">
        <v>3</v>
      </c>
      <c r="K290" s="6">
        <v>1</v>
      </c>
    </row>
    <row r="291" spans="1:11" x14ac:dyDescent="0.2">
      <c r="A291" s="2">
        <v>290</v>
      </c>
      <c r="B291" s="6">
        <v>54</v>
      </c>
      <c r="C291" s="8" t="s">
        <v>3</v>
      </c>
      <c r="D291" s="6">
        <v>6</v>
      </c>
      <c r="E291" s="6">
        <v>14</v>
      </c>
      <c r="F291" s="8" t="s">
        <v>1</v>
      </c>
      <c r="G291" s="8" t="s">
        <v>5</v>
      </c>
      <c r="H291" s="4">
        <v>2.6</v>
      </c>
      <c r="I291" s="10">
        <v>15328.5</v>
      </c>
      <c r="J291" s="6">
        <v>3</v>
      </c>
      <c r="K291" s="6">
        <v>0</v>
      </c>
    </row>
    <row r="292" spans="1:11" x14ac:dyDescent="0.2">
      <c r="A292" s="2">
        <v>291</v>
      </c>
      <c r="B292" s="6">
        <v>49</v>
      </c>
      <c r="C292" s="8" t="s">
        <v>3</v>
      </c>
      <c r="D292" s="6">
        <v>55</v>
      </c>
      <c r="E292" s="6">
        <v>6</v>
      </c>
      <c r="F292" s="8" t="s">
        <v>4</v>
      </c>
      <c r="G292" s="8" t="s">
        <v>6</v>
      </c>
      <c r="H292" s="4">
        <v>3.6</v>
      </c>
      <c r="I292" s="10">
        <v>4304.67</v>
      </c>
      <c r="J292" s="6">
        <v>6</v>
      </c>
      <c r="K292" s="6">
        <v>0</v>
      </c>
    </row>
    <row r="293" spans="1:11" x14ac:dyDescent="0.2">
      <c r="A293" s="2">
        <v>292</v>
      </c>
      <c r="B293" s="6">
        <v>50</v>
      </c>
      <c r="C293" s="8" t="s">
        <v>0</v>
      </c>
      <c r="D293" s="6">
        <v>48</v>
      </c>
      <c r="E293" s="6">
        <v>8</v>
      </c>
      <c r="F293" s="8" t="s">
        <v>1</v>
      </c>
      <c r="G293" s="8" t="s">
        <v>5</v>
      </c>
      <c r="H293" s="4">
        <v>3.2</v>
      </c>
      <c r="I293" s="10">
        <v>25280.9</v>
      </c>
      <c r="J293" s="6">
        <v>1</v>
      </c>
      <c r="K293" s="6">
        <v>0</v>
      </c>
    </row>
    <row r="294" spans="1:11" x14ac:dyDescent="0.2">
      <c r="A294" s="2">
        <v>293</v>
      </c>
      <c r="B294" s="6">
        <v>18</v>
      </c>
      <c r="C294" s="8" t="s">
        <v>0</v>
      </c>
      <c r="D294" s="6">
        <v>4</v>
      </c>
      <c r="E294" s="6">
        <v>18</v>
      </c>
      <c r="F294" s="8" t="s">
        <v>1</v>
      </c>
      <c r="G294" s="8" t="s">
        <v>2</v>
      </c>
      <c r="H294" s="4">
        <v>1.2</v>
      </c>
      <c r="I294" s="10">
        <v>39828.519999999997</v>
      </c>
      <c r="J294" s="6">
        <v>7</v>
      </c>
      <c r="K294" s="6">
        <v>0</v>
      </c>
    </row>
    <row r="295" spans="1:11" x14ac:dyDescent="0.2">
      <c r="A295" s="2">
        <v>294</v>
      </c>
      <c r="B295" s="6">
        <v>36</v>
      </c>
      <c r="C295" s="8" t="s">
        <v>3</v>
      </c>
      <c r="D295" s="6">
        <v>30</v>
      </c>
      <c r="E295" s="6">
        <v>15</v>
      </c>
      <c r="F295" s="8" t="s">
        <v>4</v>
      </c>
      <c r="G295" s="8" t="s">
        <v>2</v>
      </c>
      <c r="H295" s="4">
        <v>3.1</v>
      </c>
      <c r="I295" s="10">
        <v>35500.78</v>
      </c>
      <c r="J295" s="6">
        <v>5</v>
      </c>
      <c r="K295" s="6">
        <v>0</v>
      </c>
    </row>
    <row r="296" spans="1:11" x14ac:dyDescent="0.2">
      <c r="A296" s="2">
        <v>295</v>
      </c>
      <c r="B296" s="6">
        <v>79</v>
      </c>
      <c r="C296" s="8" t="s">
        <v>3</v>
      </c>
      <c r="D296" s="6">
        <v>11</v>
      </c>
      <c r="E296" s="6">
        <v>7</v>
      </c>
      <c r="F296" s="8" t="s">
        <v>4</v>
      </c>
      <c r="G296" s="8" t="s">
        <v>2</v>
      </c>
      <c r="H296" s="4">
        <v>4.2</v>
      </c>
      <c r="I296" s="10">
        <v>2986.19</v>
      </c>
      <c r="J296" s="6">
        <v>2</v>
      </c>
      <c r="K296" s="6">
        <v>0</v>
      </c>
    </row>
    <row r="297" spans="1:11" x14ac:dyDescent="0.2">
      <c r="A297" s="2">
        <v>296</v>
      </c>
      <c r="B297" s="6">
        <v>19</v>
      </c>
      <c r="C297" s="8" t="s">
        <v>3</v>
      </c>
      <c r="D297" s="6">
        <v>30</v>
      </c>
      <c r="E297" s="6">
        <v>17</v>
      </c>
      <c r="F297" s="8" t="s">
        <v>4</v>
      </c>
      <c r="G297" s="8" t="s">
        <v>6</v>
      </c>
      <c r="H297" s="4">
        <v>2.8</v>
      </c>
      <c r="I297" s="10">
        <v>4108.6400000000003</v>
      </c>
      <c r="J297" s="6">
        <v>8</v>
      </c>
      <c r="K297" s="6">
        <v>0</v>
      </c>
    </row>
    <row r="298" spans="1:11" x14ac:dyDescent="0.2">
      <c r="A298" s="2">
        <v>297</v>
      </c>
      <c r="B298" s="6">
        <v>70</v>
      </c>
      <c r="C298" s="8" t="s">
        <v>0</v>
      </c>
      <c r="D298" s="6">
        <v>31</v>
      </c>
      <c r="E298" s="6">
        <v>17</v>
      </c>
      <c r="F298" s="8" t="s">
        <v>1</v>
      </c>
      <c r="G298" s="8" t="s">
        <v>5</v>
      </c>
      <c r="H298" s="4">
        <v>1.2</v>
      </c>
      <c r="I298" s="10">
        <v>20442.23</v>
      </c>
      <c r="J298" s="6">
        <v>4</v>
      </c>
      <c r="K298" s="6">
        <v>1</v>
      </c>
    </row>
    <row r="299" spans="1:11" x14ac:dyDescent="0.2">
      <c r="A299" s="2">
        <v>298</v>
      </c>
      <c r="B299" s="6">
        <v>61</v>
      </c>
      <c r="C299" s="8" t="s">
        <v>3</v>
      </c>
      <c r="D299" s="6">
        <v>24</v>
      </c>
      <c r="E299" s="6">
        <v>19</v>
      </c>
      <c r="F299" s="8" t="s">
        <v>1</v>
      </c>
      <c r="G299" s="8" t="s">
        <v>6</v>
      </c>
      <c r="H299" s="4">
        <v>4.0999999999999996</v>
      </c>
      <c r="I299" s="10">
        <v>15116.88</v>
      </c>
      <c r="J299" s="6">
        <v>7</v>
      </c>
      <c r="K299" s="6">
        <v>0</v>
      </c>
    </row>
    <row r="300" spans="1:11" x14ac:dyDescent="0.2">
      <c r="A300" s="2">
        <v>299</v>
      </c>
      <c r="B300" s="6">
        <v>43</v>
      </c>
      <c r="C300" s="8" t="s">
        <v>3</v>
      </c>
      <c r="D300" s="6">
        <v>55</v>
      </c>
      <c r="E300" s="6">
        <v>6</v>
      </c>
      <c r="F300" s="8" t="s">
        <v>4</v>
      </c>
      <c r="G300" s="8" t="s">
        <v>5</v>
      </c>
      <c r="H300" s="4">
        <v>1.8</v>
      </c>
      <c r="I300" s="10">
        <v>12003.02</v>
      </c>
      <c r="J300" s="6">
        <v>6</v>
      </c>
      <c r="K300" s="6">
        <v>0</v>
      </c>
    </row>
    <row r="301" spans="1:11" x14ac:dyDescent="0.2">
      <c r="A301" s="2">
        <v>300</v>
      </c>
      <c r="B301" s="6">
        <v>49</v>
      </c>
      <c r="C301" s="8" t="s">
        <v>0</v>
      </c>
      <c r="D301" s="6">
        <v>9</v>
      </c>
      <c r="E301" s="6">
        <v>2</v>
      </c>
      <c r="F301" s="8" t="s">
        <v>4</v>
      </c>
      <c r="G301" s="8" t="s">
        <v>2</v>
      </c>
      <c r="H301" s="4">
        <v>2</v>
      </c>
      <c r="I301" s="10">
        <v>14409.72</v>
      </c>
      <c r="J301" s="6">
        <v>7</v>
      </c>
      <c r="K301" s="6">
        <v>0</v>
      </c>
    </row>
    <row r="302" spans="1:11" x14ac:dyDescent="0.2">
      <c r="A302" s="2">
        <v>301</v>
      </c>
      <c r="B302" s="6">
        <v>23</v>
      </c>
      <c r="C302" s="8" t="s">
        <v>0</v>
      </c>
      <c r="D302" s="6">
        <v>55</v>
      </c>
      <c r="E302" s="6">
        <v>17</v>
      </c>
      <c r="F302" s="8" t="s">
        <v>4</v>
      </c>
      <c r="G302" s="8" t="s">
        <v>6</v>
      </c>
      <c r="H302" s="4">
        <v>1.7</v>
      </c>
      <c r="I302" s="10">
        <v>40272.400000000001</v>
      </c>
      <c r="J302" s="6">
        <v>6</v>
      </c>
      <c r="K302" s="6">
        <v>0</v>
      </c>
    </row>
    <row r="303" spans="1:11" x14ac:dyDescent="0.2">
      <c r="A303" s="2">
        <v>302</v>
      </c>
      <c r="B303" s="6">
        <v>49</v>
      </c>
      <c r="C303" s="8" t="s">
        <v>3</v>
      </c>
      <c r="D303" s="6">
        <v>3</v>
      </c>
      <c r="E303" s="6">
        <v>9</v>
      </c>
      <c r="F303" s="8" t="s">
        <v>4</v>
      </c>
      <c r="G303" s="8" t="s">
        <v>5</v>
      </c>
      <c r="H303" s="4">
        <v>2.2999999999999998</v>
      </c>
      <c r="I303" s="10">
        <v>46496.79</v>
      </c>
      <c r="J303" s="6">
        <v>2</v>
      </c>
      <c r="K303" s="6">
        <v>0</v>
      </c>
    </row>
    <row r="304" spans="1:11" x14ac:dyDescent="0.2">
      <c r="A304" s="2">
        <v>303</v>
      </c>
      <c r="B304" s="6">
        <v>72</v>
      </c>
      <c r="C304" s="8" t="s">
        <v>0</v>
      </c>
      <c r="D304" s="6">
        <v>51</v>
      </c>
      <c r="E304" s="6">
        <v>6</v>
      </c>
      <c r="F304" s="8" t="s">
        <v>1</v>
      </c>
      <c r="G304" s="8" t="s">
        <v>5</v>
      </c>
      <c r="H304" s="4">
        <v>4</v>
      </c>
      <c r="I304" s="10">
        <v>20552.580000000002</v>
      </c>
      <c r="J304" s="6">
        <v>1</v>
      </c>
      <c r="K304" s="6">
        <v>0</v>
      </c>
    </row>
    <row r="305" spans="1:11" x14ac:dyDescent="0.2">
      <c r="A305" s="2">
        <v>304</v>
      </c>
      <c r="B305" s="6">
        <v>21</v>
      </c>
      <c r="C305" s="8" t="s">
        <v>0</v>
      </c>
      <c r="D305" s="6">
        <v>31</v>
      </c>
      <c r="E305" s="6">
        <v>16</v>
      </c>
      <c r="F305" s="8" t="s">
        <v>4</v>
      </c>
      <c r="G305" s="8" t="s">
        <v>2</v>
      </c>
      <c r="H305" s="4">
        <v>3.1</v>
      </c>
      <c r="I305" s="10">
        <v>45352.49</v>
      </c>
      <c r="J305" s="6">
        <v>6</v>
      </c>
      <c r="K305" s="6">
        <v>0</v>
      </c>
    </row>
    <row r="306" spans="1:11" x14ac:dyDescent="0.2">
      <c r="A306" s="2">
        <v>305</v>
      </c>
      <c r="B306" s="6">
        <v>72</v>
      </c>
      <c r="C306" s="8" t="s">
        <v>3</v>
      </c>
      <c r="D306" s="6">
        <v>40</v>
      </c>
      <c r="E306" s="6">
        <v>13</v>
      </c>
      <c r="F306" s="8" t="s">
        <v>4</v>
      </c>
      <c r="G306" s="8" t="s">
        <v>6</v>
      </c>
      <c r="H306" s="4">
        <v>1.8</v>
      </c>
      <c r="I306" s="10">
        <v>16414.04</v>
      </c>
      <c r="J306" s="6">
        <v>2</v>
      </c>
      <c r="K306" s="6">
        <v>0</v>
      </c>
    </row>
    <row r="307" spans="1:11" x14ac:dyDescent="0.2">
      <c r="A307" s="2">
        <v>306</v>
      </c>
      <c r="B307" s="6">
        <v>28</v>
      </c>
      <c r="C307" s="8" t="s">
        <v>0</v>
      </c>
      <c r="D307" s="6">
        <v>37</v>
      </c>
      <c r="E307" s="6">
        <v>2</v>
      </c>
      <c r="F307" s="8" t="s">
        <v>4</v>
      </c>
      <c r="G307" s="8" t="s">
        <v>6</v>
      </c>
      <c r="H307" s="4">
        <v>4.5</v>
      </c>
      <c r="I307" s="10">
        <v>24083.63</v>
      </c>
      <c r="J307" s="6">
        <v>2</v>
      </c>
      <c r="K307" s="6">
        <v>0</v>
      </c>
    </row>
    <row r="308" spans="1:11" x14ac:dyDescent="0.2">
      <c r="A308" s="2">
        <v>307</v>
      </c>
      <c r="B308" s="6">
        <v>73</v>
      </c>
      <c r="C308" s="8" t="s">
        <v>3</v>
      </c>
      <c r="D308" s="6">
        <v>36</v>
      </c>
      <c r="E308" s="6">
        <v>11</v>
      </c>
      <c r="F308" s="8" t="s">
        <v>4</v>
      </c>
      <c r="G308" s="8" t="s">
        <v>6</v>
      </c>
      <c r="H308" s="4">
        <v>4.5</v>
      </c>
      <c r="I308" s="10">
        <v>11688.44</v>
      </c>
      <c r="J308" s="6">
        <v>1</v>
      </c>
      <c r="K308" s="6">
        <v>0</v>
      </c>
    </row>
    <row r="309" spans="1:11" x14ac:dyDescent="0.2">
      <c r="A309" s="2">
        <v>308</v>
      </c>
      <c r="B309" s="6">
        <v>76</v>
      </c>
      <c r="C309" s="8" t="s">
        <v>0</v>
      </c>
      <c r="D309" s="6">
        <v>24</v>
      </c>
      <c r="E309" s="6">
        <v>12</v>
      </c>
      <c r="F309" s="8" t="s">
        <v>1</v>
      </c>
      <c r="G309" s="8" t="s">
        <v>2</v>
      </c>
      <c r="H309" s="4">
        <v>4.5</v>
      </c>
      <c r="I309" s="10">
        <v>32203.56</v>
      </c>
      <c r="J309" s="6">
        <v>3</v>
      </c>
      <c r="K309" s="6">
        <v>0</v>
      </c>
    </row>
    <row r="310" spans="1:11" x14ac:dyDescent="0.2">
      <c r="A310" s="2">
        <v>309</v>
      </c>
      <c r="B310" s="6">
        <v>34</v>
      </c>
      <c r="C310" s="8" t="s">
        <v>3</v>
      </c>
      <c r="D310" s="6">
        <v>31</v>
      </c>
      <c r="E310" s="6">
        <v>1</v>
      </c>
      <c r="F310" s="8" t="s">
        <v>4</v>
      </c>
      <c r="G310" s="8" t="s">
        <v>6</v>
      </c>
      <c r="H310" s="4">
        <v>2</v>
      </c>
      <c r="I310" s="10">
        <v>48959.57</v>
      </c>
      <c r="J310" s="6">
        <v>7</v>
      </c>
      <c r="K310" s="6">
        <v>0</v>
      </c>
    </row>
    <row r="311" spans="1:11" x14ac:dyDescent="0.2">
      <c r="A311" s="2">
        <v>310</v>
      </c>
      <c r="B311" s="6">
        <v>55</v>
      </c>
      <c r="C311" s="8" t="s">
        <v>3</v>
      </c>
      <c r="D311" s="6">
        <v>6</v>
      </c>
      <c r="E311" s="6">
        <v>2</v>
      </c>
      <c r="F311" s="8" t="s">
        <v>1</v>
      </c>
      <c r="G311" s="8" t="s">
        <v>2</v>
      </c>
      <c r="H311" s="4">
        <v>2.8</v>
      </c>
      <c r="I311" s="10">
        <v>30372.91</v>
      </c>
      <c r="J311" s="6">
        <v>0</v>
      </c>
      <c r="K311" s="6">
        <v>0</v>
      </c>
    </row>
    <row r="312" spans="1:11" x14ac:dyDescent="0.2">
      <c r="A312" s="2">
        <v>311</v>
      </c>
      <c r="B312" s="6">
        <v>41</v>
      </c>
      <c r="C312" s="8" t="s">
        <v>3</v>
      </c>
      <c r="D312" s="6">
        <v>2</v>
      </c>
      <c r="E312" s="6">
        <v>4</v>
      </c>
      <c r="F312" s="8" t="s">
        <v>4</v>
      </c>
      <c r="G312" s="8" t="s">
        <v>2</v>
      </c>
      <c r="H312" s="4">
        <v>4.9000000000000004</v>
      </c>
      <c r="I312" s="10">
        <v>18211.8</v>
      </c>
      <c r="J312" s="6">
        <v>0</v>
      </c>
      <c r="K312" s="6">
        <v>1</v>
      </c>
    </row>
    <row r="313" spans="1:11" x14ac:dyDescent="0.2">
      <c r="A313" s="2">
        <v>312</v>
      </c>
      <c r="B313" s="6">
        <v>22</v>
      </c>
      <c r="C313" s="8" t="s">
        <v>0</v>
      </c>
      <c r="D313" s="6">
        <v>20</v>
      </c>
      <c r="E313" s="6">
        <v>10</v>
      </c>
      <c r="F313" s="8" t="s">
        <v>4</v>
      </c>
      <c r="G313" s="8" t="s">
        <v>2</v>
      </c>
      <c r="H313" s="4">
        <v>4.0999999999999996</v>
      </c>
      <c r="I313" s="10">
        <v>32566.959999999999</v>
      </c>
      <c r="J313" s="6">
        <v>4</v>
      </c>
      <c r="K313" s="6">
        <v>0</v>
      </c>
    </row>
    <row r="314" spans="1:11" x14ac:dyDescent="0.2">
      <c r="A314" s="2">
        <v>313</v>
      </c>
      <c r="B314" s="6">
        <v>69</v>
      </c>
      <c r="C314" s="8" t="s">
        <v>3</v>
      </c>
      <c r="D314" s="6">
        <v>28</v>
      </c>
      <c r="E314" s="6">
        <v>7</v>
      </c>
      <c r="F314" s="8" t="s">
        <v>1</v>
      </c>
      <c r="G314" s="8" t="s">
        <v>5</v>
      </c>
      <c r="H314" s="4">
        <v>1.1000000000000001</v>
      </c>
      <c r="I314" s="10">
        <v>6584.57</v>
      </c>
      <c r="J314" s="6">
        <v>4</v>
      </c>
      <c r="K314" s="6">
        <v>0</v>
      </c>
    </row>
    <row r="315" spans="1:11" x14ac:dyDescent="0.2">
      <c r="A315" s="2">
        <v>314</v>
      </c>
      <c r="B315" s="6">
        <v>51</v>
      </c>
      <c r="C315" s="8" t="s">
        <v>0</v>
      </c>
      <c r="D315" s="6">
        <v>11</v>
      </c>
      <c r="E315" s="6">
        <v>11</v>
      </c>
      <c r="F315" s="8" t="s">
        <v>4</v>
      </c>
      <c r="G315" s="8" t="s">
        <v>6</v>
      </c>
      <c r="H315" s="4">
        <v>1.3</v>
      </c>
      <c r="I315" s="10">
        <v>44488.62</v>
      </c>
      <c r="J315" s="6">
        <v>0</v>
      </c>
      <c r="K315" s="6">
        <v>1</v>
      </c>
    </row>
    <row r="316" spans="1:11" x14ac:dyDescent="0.2">
      <c r="A316" s="2">
        <v>315</v>
      </c>
      <c r="B316" s="6">
        <v>23</v>
      </c>
      <c r="C316" s="8" t="s">
        <v>3</v>
      </c>
      <c r="D316" s="6">
        <v>4</v>
      </c>
      <c r="E316" s="6">
        <v>6</v>
      </c>
      <c r="F316" s="8" t="s">
        <v>1</v>
      </c>
      <c r="G316" s="8" t="s">
        <v>6</v>
      </c>
      <c r="H316" s="4">
        <v>2.9</v>
      </c>
      <c r="I316" s="10">
        <v>25402.66</v>
      </c>
      <c r="J316" s="6">
        <v>5</v>
      </c>
      <c r="K316" s="6">
        <v>0</v>
      </c>
    </row>
    <row r="317" spans="1:11" x14ac:dyDescent="0.2">
      <c r="A317" s="2">
        <v>316</v>
      </c>
      <c r="B317" s="6">
        <v>39</v>
      </c>
      <c r="C317" s="8" t="s">
        <v>3</v>
      </c>
      <c r="D317" s="6">
        <v>15</v>
      </c>
      <c r="E317" s="6">
        <v>14</v>
      </c>
      <c r="F317" s="8" t="s">
        <v>1</v>
      </c>
      <c r="G317" s="8" t="s">
        <v>2</v>
      </c>
      <c r="H317" s="4">
        <v>4.5999999999999996</v>
      </c>
      <c r="I317" s="10">
        <v>22742.81</v>
      </c>
      <c r="J317" s="6">
        <v>0</v>
      </c>
      <c r="K317" s="6">
        <v>0</v>
      </c>
    </row>
    <row r="318" spans="1:11" x14ac:dyDescent="0.2">
      <c r="A318" s="2">
        <v>317</v>
      </c>
      <c r="B318" s="6">
        <v>28</v>
      </c>
      <c r="C318" s="8" t="s">
        <v>0</v>
      </c>
      <c r="D318" s="6">
        <v>6</v>
      </c>
      <c r="E318" s="6">
        <v>16</v>
      </c>
      <c r="F318" s="8" t="s">
        <v>4</v>
      </c>
      <c r="G318" s="8" t="s">
        <v>2</v>
      </c>
      <c r="H318" s="4">
        <v>3.2</v>
      </c>
      <c r="I318" s="10">
        <v>29500.31</v>
      </c>
      <c r="J318" s="6">
        <v>4</v>
      </c>
      <c r="K318" s="6">
        <v>1</v>
      </c>
    </row>
    <row r="319" spans="1:11" x14ac:dyDescent="0.2">
      <c r="A319" s="2">
        <v>318</v>
      </c>
      <c r="B319" s="6">
        <v>65</v>
      </c>
      <c r="C319" s="8" t="s">
        <v>3</v>
      </c>
      <c r="D319" s="6">
        <v>54</v>
      </c>
      <c r="E319" s="6">
        <v>3</v>
      </c>
      <c r="F319" s="8" t="s">
        <v>1</v>
      </c>
      <c r="G319" s="8" t="s">
        <v>6</v>
      </c>
      <c r="H319" s="4">
        <v>3</v>
      </c>
      <c r="I319" s="10">
        <v>31426.799999999999</v>
      </c>
      <c r="J319" s="6">
        <v>8</v>
      </c>
      <c r="K319" s="6">
        <v>1</v>
      </c>
    </row>
    <row r="320" spans="1:11" x14ac:dyDescent="0.2">
      <c r="A320" s="2">
        <v>319</v>
      </c>
      <c r="B320" s="6">
        <v>33</v>
      </c>
      <c r="C320" s="8" t="s">
        <v>3</v>
      </c>
      <c r="D320" s="6">
        <v>49</v>
      </c>
      <c r="E320" s="6">
        <v>12</v>
      </c>
      <c r="F320" s="8" t="s">
        <v>1</v>
      </c>
      <c r="G320" s="8" t="s">
        <v>2</v>
      </c>
      <c r="H320" s="4">
        <v>1.4</v>
      </c>
      <c r="I320" s="10">
        <v>4052.9</v>
      </c>
      <c r="J320" s="6">
        <v>4</v>
      </c>
      <c r="K320" s="6">
        <v>1</v>
      </c>
    </row>
    <row r="321" spans="1:11" x14ac:dyDescent="0.2">
      <c r="A321" s="2">
        <v>320</v>
      </c>
      <c r="B321" s="6">
        <v>50</v>
      </c>
      <c r="C321" s="8" t="s">
        <v>0</v>
      </c>
      <c r="D321" s="6">
        <v>30</v>
      </c>
      <c r="E321" s="6">
        <v>17</v>
      </c>
      <c r="F321" s="8" t="s">
        <v>1</v>
      </c>
      <c r="G321" s="8" t="s">
        <v>6</v>
      </c>
      <c r="H321" s="4">
        <v>3.6</v>
      </c>
      <c r="I321" s="10">
        <v>34289.550000000003</v>
      </c>
      <c r="J321" s="6">
        <v>5</v>
      </c>
      <c r="K321" s="6">
        <v>0</v>
      </c>
    </row>
    <row r="322" spans="1:11" x14ac:dyDescent="0.2">
      <c r="A322" s="2">
        <v>321</v>
      </c>
      <c r="B322" s="6">
        <v>26</v>
      </c>
      <c r="C322" s="8" t="s">
        <v>3</v>
      </c>
      <c r="D322" s="6">
        <v>56</v>
      </c>
      <c r="E322" s="6">
        <v>0</v>
      </c>
      <c r="F322" s="8" t="s">
        <v>1</v>
      </c>
      <c r="G322" s="8" t="s">
        <v>5</v>
      </c>
      <c r="H322" s="4">
        <v>4.3</v>
      </c>
      <c r="I322" s="10">
        <v>12475.62</v>
      </c>
      <c r="J322" s="6">
        <v>7</v>
      </c>
      <c r="K322" s="6">
        <v>0</v>
      </c>
    </row>
    <row r="323" spans="1:11" x14ac:dyDescent="0.2">
      <c r="A323" s="2">
        <v>322</v>
      </c>
      <c r="B323" s="6">
        <v>77</v>
      </c>
      <c r="C323" s="8" t="s">
        <v>3</v>
      </c>
      <c r="D323" s="6">
        <v>38</v>
      </c>
      <c r="E323" s="6">
        <v>15</v>
      </c>
      <c r="F323" s="8" t="s">
        <v>1</v>
      </c>
      <c r="G323" s="8" t="s">
        <v>2</v>
      </c>
      <c r="H323" s="4">
        <v>2.5</v>
      </c>
      <c r="I323" s="10">
        <v>35840.660000000003</v>
      </c>
      <c r="J323" s="6">
        <v>0</v>
      </c>
      <c r="K323" s="6">
        <v>0</v>
      </c>
    </row>
    <row r="324" spans="1:11" x14ac:dyDescent="0.2">
      <c r="A324" s="2">
        <v>323</v>
      </c>
      <c r="B324" s="6">
        <v>76</v>
      </c>
      <c r="C324" s="8" t="s">
        <v>3</v>
      </c>
      <c r="D324" s="6">
        <v>51</v>
      </c>
      <c r="E324" s="6">
        <v>12</v>
      </c>
      <c r="F324" s="8" t="s">
        <v>1</v>
      </c>
      <c r="G324" s="8" t="s">
        <v>6</v>
      </c>
      <c r="H324" s="4">
        <v>4.0999999999999996</v>
      </c>
      <c r="I324" s="10">
        <v>41215.47</v>
      </c>
      <c r="J324" s="6">
        <v>1</v>
      </c>
      <c r="K324" s="6">
        <v>0</v>
      </c>
    </row>
    <row r="325" spans="1:11" x14ac:dyDescent="0.2">
      <c r="A325" s="2">
        <v>324</v>
      </c>
      <c r="B325" s="6">
        <v>23</v>
      </c>
      <c r="C325" s="8" t="s">
        <v>3</v>
      </c>
      <c r="D325" s="6">
        <v>57</v>
      </c>
      <c r="E325" s="6">
        <v>9</v>
      </c>
      <c r="F325" s="8" t="s">
        <v>1</v>
      </c>
      <c r="G325" s="8" t="s">
        <v>2</v>
      </c>
      <c r="H325" s="4">
        <v>4.9000000000000004</v>
      </c>
      <c r="I325" s="10">
        <v>40295.949999999997</v>
      </c>
      <c r="J325" s="6">
        <v>8</v>
      </c>
      <c r="K325" s="6">
        <v>0</v>
      </c>
    </row>
    <row r="326" spans="1:11" x14ac:dyDescent="0.2">
      <c r="A326" s="2">
        <v>325</v>
      </c>
      <c r="B326" s="6">
        <v>33</v>
      </c>
      <c r="C326" s="8" t="s">
        <v>0</v>
      </c>
      <c r="D326" s="6">
        <v>2</v>
      </c>
      <c r="E326" s="6">
        <v>11</v>
      </c>
      <c r="F326" s="8" t="s">
        <v>1</v>
      </c>
      <c r="G326" s="8" t="s">
        <v>6</v>
      </c>
      <c r="H326" s="4">
        <v>1.8</v>
      </c>
      <c r="I326" s="10">
        <v>27848.799999999999</v>
      </c>
      <c r="J326" s="6">
        <v>2</v>
      </c>
      <c r="K326" s="6">
        <v>0</v>
      </c>
    </row>
    <row r="327" spans="1:11" x14ac:dyDescent="0.2">
      <c r="A327" s="2">
        <v>326</v>
      </c>
      <c r="B327" s="6">
        <v>46</v>
      </c>
      <c r="C327" s="8" t="s">
        <v>0</v>
      </c>
      <c r="D327" s="6">
        <v>15</v>
      </c>
      <c r="E327" s="6">
        <v>1</v>
      </c>
      <c r="F327" s="8" t="s">
        <v>4</v>
      </c>
      <c r="G327" s="8" t="s">
        <v>6</v>
      </c>
      <c r="H327" s="4">
        <v>3.1</v>
      </c>
      <c r="I327" s="10">
        <v>26248.41</v>
      </c>
      <c r="J327" s="6">
        <v>5</v>
      </c>
      <c r="K327" s="6">
        <v>1</v>
      </c>
    </row>
    <row r="328" spans="1:11" x14ac:dyDescent="0.2">
      <c r="A328" s="2">
        <v>327</v>
      </c>
      <c r="B328" s="6">
        <v>20</v>
      </c>
      <c r="C328" s="8" t="s">
        <v>3</v>
      </c>
      <c r="D328" s="6">
        <v>11</v>
      </c>
      <c r="E328" s="6">
        <v>2</v>
      </c>
      <c r="F328" s="8" t="s">
        <v>4</v>
      </c>
      <c r="G328" s="8" t="s">
        <v>2</v>
      </c>
      <c r="H328" s="4">
        <v>2.1</v>
      </c>
      <c r="I328" s="10">
        <v>7572.36</v>
      </c>
      <c r="J328" s="6">
        <v>4</v>
      </c>
      <c r="K328" s="6">
        <v>0</v>
      </c>
    </row>
    <row r="329" spans="1:11" x14ac:dyDescent="0.2">
      <c r="A329" s="2">
        <v>328</v>
      </c>
      <c r="B329" s="6">
        <v>37</v>
      </c>
      <c r="C329" s="8" t="s">
        <v>0</v>
      </c>
      <c r="D329" s="6">
        <v>8</v>
      </c>
      <c r="E329" s="6">
        <v>9</v>
      </c>
      <c r="F329" s="8" t="s">
        <v>1</v>
      </c>
      <c r="G329" s="8" t="s">
        <v>5</v>
      </c>
      <c r="H329" s="4">
        <v>4.2</v>
      </c>
      <c r="I329" s="10">
        <v>38879.629999999997</v>
      </c>
      <c r="J329" s="6">
        <v>1</v>
      </c>
      <c r="K329" s="6">
        <v>0</v>
      </c>
    </row>
    <row r="330" spans="1:11" x14ac:dyDescent="0.2">
      <c r="A330" s="2">
        <v>329</v>
      </c>
      <c r="B330" s="6">
        <v>77</v>
      </c>
      <c r="C330" s="8" t="s">
        <v>3</v>
      </c>
      <c r="D330" s="6">
        <v>26</v>
      </c>
      <c r="E330" s="6">
        <v>1</v>
      </c>
      <c r="F330" s="8" t="s">
        <v>4</v>
      </c>
      <c r="G330" s="8" t="s">
        <v>6</v>
      </c>
      <c r="H330" s="4">
        <v>3.3</v>
      </c>
      <c r="I330" s="10">
        <v>13934.76</v>
      </c>
      <c r="J330" s="6">
        <v>6</v>
      </c>
      <c r="K330" s="6">
        <v>0</v>
      </c>
    </row>
    <row r="331" spans="1:11" x14ac:dyDescent="0.2">
      <c r="A331" s="2">
        <v>330</v>
      </c>
      <c r="B331" s="6">
        <v>76</v>
      </c>
      <c r="C331" s="8" t="s">
        <v>0</v>
      </c>
      <c r="D331" s="6">
        <v>51</v>
      </c>
      <c r="E331" s="6">
        <v>12</v>
      </c>
      <c r="F331" s="8" t="s">
        <v>1</v>
      </c>
      <c r="G331" s="8" t="s">
        <v>6</v>
      </c>
      <c r="H331" s="4">
        <v>3.5</v>
      </c>
      <c r="I331" s="10">
        <v>25086.42</v>
      </c>
      <c r="J331" s="6">
        <v>3</v>
      </c>
      <c r="K331" s="6">
        <v>0</v>
      </c>
    </row>
    <row r="332" spans="1:11" x14ac:dyDescent="0.2">
      <c r="A332" s="2">
        <v>331</v>
      </c>
      <c r="B332" s="6">
        <v>53</v>
      </c>
      <c r="C332" s="8" t="s">
        <v>3</v>
      </c>
      <c r="D332" s="6">
        <v>45</v>
      </c>
      <c r="E332" s="6">
        <v>12</v>
      </c>
      <c r="F332" s="8" t="s">
        <v>1</v>
      </c>
      <c r="G332" s="8" t="s">
        <v>6</v>
      </c>
      <c r="H332" s="4">
        <v>4.2</v>
      </c>
      <c r="I332" s="10">
        <v>14571.57</v>
      </c>
      <c r="J332" s="6">
        <v>0</v>
      </c>
      <c r="K332" s="6">
        <v>0</v>
      </c>
    </row>
    <row r="333" spans="1:11" x14ac:dyDescent="0.2">
      <c r="A333" s="2">
        <v>332</v>
      </c>
      <c r="B333" s="6">
        <v>36</v>
      </c>
      <c r="C333" s="8" t="s">
        <v>3</v>
      </c>
      <c r="D333" s="6">
        <v>44</v>
      </c>
      <c r="E333" s="6">
        <v>17</v>
      </c>
      <c r="F333" s="8" t="s">
        <v>4</v>
      </c>
      <c r="G333" s="8" t="s">
        <v>5</v>
      </c>
      <c r="H333" s="4">
        <v>2.6</v>
      </c>
      <c r="I333" s="10">
        <v>7124.5</v>
      </c>
      <c r="J333" s="6">
        <v>3</v>
      </c>
      <c r="K333" s="6">
        <v>0</v>
      </c>
    </row>
    <row r="334" spans="1:11" x14ac:dyDescent="0.2">
      <c r="A334" s="2">
        <v>333</v>
      </c>
      <c r="B334" s="6">
        <v>43</v>
      </c>
      <c r="C334" s="8" t="s">
        <v>3</v>
      </c>
      <c r="D334" s="6">
        <v>5</v>
      </c>
      <c r="E334" s="6">
        <v>2</v>
      </c>
      <c r="F334" s="8" t="s">
        <v>1</v>
      </c>
      <c r="G334" s="8" t="s">
        <v>5</v>
      </c>
      <c r="H334" s="4">
        <v>4.7</v>
      </c>
      <c r="I334" s="10">
        <v>31663.11</v>
      </c>
      <c r="J334" s="6">
        <v>5</v>
      </c>
      <c r="K334" s="6">
        <v>0</v>
      </c>
    </row>
    <row r="335" spans="1:11" x14ac:dyDescent="0.2">
      <c r="A335" s="2">
        <v>334</v>
      </c>
      <c r="B335" s="6">
        <v>20</v>
      </c>
      <c r="C335" s="8" t="s">
        <v>3</v>
      </c>
      <c r="D335" s="6">
        <v>6</v>
      </c>
      <c r="E335" s="6">
        <v>6</v>
      </c>
      <c r="F335" s="8" t="s">
        <v>1</v>
      </c>
      <c r="G335" s="8" t="s">
        <v>2</v>
      </c>
      <c r="H335" s="4">
        <v>3.1</v>
      </c>
      <c r="I335" s="10">
        <v>3189.44</v>
      </c>
      <c r="J335" s="6">
        <v>6</v>
      </c>
      <c r="K335" s="6">
        <v>0</v>
      </c>
    </row>
    <row r="336" spans="1:11" x14ac:dyDescent="0.2">
      <c r="A336" s="2">
        <v>335</v>
      </c>
      <c r="B336" s="6">
        <v>36</v>
      </c>
      <c r="C336" s="8" t="s">
        <v>3</v>
      </c>
      <c r="D336" s="6">
        <v>26</v>
      </c>
      <c r="E336" s="6">
        <v>13</v>
      </c>
      <c r="F336" s="8" t="s">
        <v>1</v>
      </c>
      <c r="G336" s="8" t="s">
        <v>5</v>
      </c>
      <c r="H336" s="4">
        <v>1.6</v>
      </c>
      <c r="I336" s="10">
        <v>37557.94</v>
      </c>
      <c r="J336" s="6">
        <v>6</v>
      </c>
      <c r="K336" s="6">
        <v>1</v>
      </c>
    </row>
    <row r="337" spans="1:11" x14ac:dyDescent="0.2">
      <c r="A337" s="2">
        <v>336</v>
      </c>
      <c r="B337" s="6">
        <v>37</v>
      </c>
      <c r="C337" s="8" t="s">
        <v>3</v>
      </c>
      <c r="D337" s="6">
        <v>54</v>
      </c>
      <c r="E337" s="6">
        <v>19</v>
      </c>
      <c r="F337" s="8" t="s">
        <v>1</v>
      </c>
      <c r="G337" s="8" t="s">
        <v>2</v>
      </c>
      <c r="H337" s="4">
        <v>3.8</v>
      </c>
      <c r="I337" s="10">
        <v>16220.55</v>
      </c>
      <c r="J337" s="6">
        <v>6</v>
      </c>
      <c r="K337" s="6">
        <v>1</v>
      </c>
    </row>
    <row r="338" spans="1:11" x14ac:dyDescent="0.2">
      <c r="A338" s="2">
        <v>337</v>
      </c>
      <c r="B338" s="6">
        <v>49</v>
      </c>
      <c r="C338" s="8" t="s">
        <v>0</v>
      </c>
      <c r="D338" s="6">
        <v>4</v>
      </c>
      <c r="E338" s="6">
        <v>16</v>
      </c>
      <c r="F338" s="8" t="s">
        <v>4</v>
      </c>
      <c r="G338" s="8" t="s">
        <v>2</v>
      </c>
      <c r="H338" s="4">
        <v>4.2</v>
      </c>
      <c r="I338" s="10">
        <v>506.67</v>
      </c>
      <c r="J338" s="6">
        <v>2</v>
      </c>
      <c r="K338" s="6">
        <v>0</v>
      </c>
    </row>
    <row r="339" spans="1:11" x14ac:dyDescent="0.2">
      <c r="A339" s="2">
        <v>338</v>
      </c>
      <c r="B339" s="6">
        <v>24</v>
      </c>
      <c r="C339" s="8" t="s">
        <v>3</v>
      </c>
      <c r="D339" s="6">
        <v>19</v>
      </c>
      <c r="E339" s="6">
        <v>11</v>
      </c>
      <c r="F339" s="8" t="s">
        <v>1</v>
      </c>
      <c r="G339" s="8" t="s">
        <v>5</v>
      </c>
      <c r="H339" s="4">
        <v>2.2999999999999998</v>
      </c>
      <c r="I339" s="10">
        <v>25800.89</v>
      </c>
      <c r="J339" s="6">
        <v>5</v>
      </c>
      <c r="K339" s="6">
        <v>0</v>
      </c>
    </row>
    <row r="340" spans="1:11" x14ac:dyDescent="0.2">
      <c r="A340" s="2">
        <v>339</v>
      </c>
      <c r="B340" s="6">
        <v>69</v>
      </c>
      <c r="C340" s="8" t="s">
        <v>0</v>
      </c>
      <c r="D340" s="6">
        <v>20</v>
      </c>
      <c r="E340" s="6">
        <v>15</v>
      </c>
      <c r="F340" s="8" t="s">
        <v>1</v>
      </c>
      <c r="G340" s="8" t="s">
        <v>2</v>
      </c>
      <c r="H340" s="4">
        <v>4.4000000000000004</v>
      </c>
      <c r="I340" s="10">
        <v>2819.17</v>
      </c>
      <c r="J340" s="6">
        <v>7</v>
      </c>
      <c r="K340" s="6">
        <v>1</v>
      </c>
    </row>
    <row r="341" spans="1:11" x14ac:dyDescent="0.2">
      <c r="A341" s="2">
        <v>340</v>
      </c>
      <c r="B341" s="6">
        <v>58</v>
      </c>
      <c r="C341" s="8" t="s">
        <v>3</v>
      </c>
      <c r="D341" s="6">
        <v>33</v>
      </c>
      <c r="E341" s="6">
        <v>11</v>
      </c>
      <c r="F341" s="8" t="s">
        <v>1</v>
      </c>
      <c r="G341" s="8" t="s">
        <v>5</v>
      </c>
      <c r="H341" s="4">
        <v>4.5999999999999996</v>
      </c>
      <c r="I341" s="10">
        <v>14170.39</v>
      </c>
      <c r="J341" s="6">
        <v>3</v>
      </c>
      <c r="K341" s="6">
        <v>1</v>
      </c>
    </row>
    <row r="342" spans="1:11" x14ac:dyDescent="0.2">
      <c r="A342" s="2">
        <v>341</v>
      </c>
      <c r="B342" s="6">
        <v>50</v>
      </c>
      <c r="C342" s="8" t="s">
        <v>0</v>
      </c>
      <c r="D342" s="6">
        <v>20</v>
      </c>
      <c r="E342" s="6">
        <v>14</v>
      </c>
      <c r="F342" s="8" t="s">
        <v>4</v>
      </c>
      <c r="G342" s="8" t="s">
        <v>2</v>
      </c>
      <c r="H342" s="4">
        <v>2.1</v>
      </c>
      <c r="I342" s="10">
        <v>35495.339999999997</v>
      </c>
      <c r="J342" s="6">
        <v>7</v>
      </c>
      <c r="K342" s="6">
        <v>0</v>
      </c>
    </row>
    <row r="343" spans="1:11" x14ac:dyDescent="0.2">
      <c r="A343" s="2">
        <v>342</v>
      </c>
      <c r="B343" s="6">
        <v>57</v>
      </c>
      <c r="C343" s="8" t="s">
        <v>0</v>
      </c>
      <c r="D343" s="6">
        <v>49</v>
      </c>
      <c r="E343" s="6">
        <v>9</v>
      </c>
      <c r="F343" s="8" t="s">
        <v>1</v>
      </c>
      <c r="G343" s="8" t="s">
        <v>5</v>
      </c>
      <c r="H343" s="4">
        <v>4.9000000000000004</v>
      </c>
      <c r="I343" s="10">
        <v>3603.14</v>
      </c>
      <c r="J343" s="6">
        <v>1</v>
      </c>
      <c r="K343" s="6">
        <v>0</v>
      </c>
    </row>
    <row r="344" spans="1:11" x14ac:dyDescent="0.2">
      <c r="A344" s="2">
        <v>343</v>
      </c>
      <c r="B344" s="6">
        <v>56</v>
      </c>
      <c r="C344" s="8" t="s">
        <v>0</v>
      </c>
      <c r="D344" s="6">
        <v>12</v>
      </c>
      <c r="E344" s="6">
        <v>6</v>
      </c>
      <c r="F344" s="8" t="s">
        <v>4</v>
      </c>
      <c r="G344" s="8" t="s">
        <v>5</v>
      </c>
      <c r="H344" s="4">
        <v>1.6</v>
      </c>
      <c r="I344" s="10">
        <v>42047.26</v>
      </c>
      <c r="J344" s="6">
        <v>9</v>
      </c>
      <c r="K344" s="6">
        <v>0</v>
      </c>
    </row>
    <row r="345" spans="1:11" x14ac:dyDescent="0.2">
      <c r="A345" s="2">
        <v>344</v>
      </c>
      <c r="B345" s="6">
        <v>35</v>
      </c>
      <c r="C345" s="8" t="s">
        <v>3</v>
      </c>
      <c r="D345" s="6">
        <v>47</v>
      </c>
      <c r="E345" s="6">
        <v>19</v>
      </c>
      <c r="F345" s="8" t="s">
        <v>4</v>
      </c>
      <c r="G345" s="8" t="s">
        <v>2</v>
      </c>
      <c r="H345" s="4">
        <v>1.8</v>
      </c>
      <c r="I345" s="10">
        <v>689.09</v>
      </c>
      <c r="J345" s="6">
        <v>8</v>
      </c>
      <c r="K345" s="6">
        <v>1</v>
      </c>
    </row>
    <row r="346" spans="1:11" x14ac:dyDescent="0.2">
      <c r="A346" s="2">
        <v>345</v>
      </c>
      <c r="B346" s="6">
        <v>57</v>
      </c>
      <c r="C346" s="8" t="s">
        <v>3</v>
      </c>
      <c r="D346" s="6">
        <v>1</v>
      </c>
      <c r="E346" s="6">
        <v>4</v>
      </c>
      <c r="F346" s="8" t="s">
        <v>1</v>
      </c>
      <c r="G346" s="8" t="s">
        <v>6</v>
      </c>
      <c r="H346" s="4">
        <v>1.7</v>
      </c>
      <c r="I346" s="10">
        <v>12717.78</v>
      </c>
      <c r="J346" s="6">
        <v>8</v>
      </c>
      <c r="K346" s="6">
        <v>1</v>
      </c>
    </row>
    <row r="347" spans="1:11" x14ac:dyDescent="0.2">
      <c r="A347" s="2">
        <v>346</v>
      </c>
      <c r="B347" s="6">
        <v>18</v>
      </c>
      <c r="C347" s="8" t="s">
        <v>0</v>
      </c>
      <c r="D347" s="6">
        <v>26</v>
      </c>
      <c r="E347" s="6">
        <v>0</v>
      </c>
      <c r="F347" s="8" t="s">
        <v>1</v>
      </c>
      <c r="G347" s="8" t="s">
        <v>2</v>
      </c>
      <c r="H347" s="4">
        <v>4.5999999999999996</v>
      </c>
      <c r="I347" s="10">
        <v>37174.75</v>
      </c>
      <c r="J347" s="6">
        <v>7</v>
      </c>
      <c r="K347" s="6">
        <v>0</v>
      </c>
    </row>
    <row r="348" spans="1:11" x14ac:dyDescent="0.2">
      <c r="A348" s="2">
        <v>347</v>
      </c>
      <c r="B348" s="6">
        <v>28</v>
      </c>
      <c r="C348" s="8" t="s">
        <v>3</v>
      </c>
      <c r="D348" s="6">
        <v>14</v>
      </c>
      <c r="E348" s="6">
        <v>16</v>
      </c>
      <c r="F348" s="8" t="s">
        <v>4</v>
      </c>
      <c r="G348" s="8" t="s">
        <v>5</v>
      </c>
      <c r="H348" s="4">
        <v>3.6</v>
      </c>
      <c r="I348" s="10">
        <v>16155.37</v>
      </c>
      <c r="J348" s="6">
        <v>9</v>
      </c>
      <c r="K348" s="6">
        <v>1</v>
      </c>
    </row>
    <row r="349" spans="1:11" x14ac:dyDescent="0.2">
      <c r="A349" s="2">
        <v>348</v>
      </c>
      <c r="B349" s="6">
        <v>45</v>
      </c>
      <c r="C349" s="8" t="s">
        <v>0</v>
      </c>
      <c r="D349" s="6">
        <v>38</v>
      </c>
      <c r="E349" s="6">
        <v>2</v>
      </c>
      <c r="F349" s="8" t="s">
        <v>1</v>
      </c>
      <c r="G349" s="8" t="s">
        <v>6</v>
      </c>
      <c r="H349" s="4">
        <v>1.6</v>
      </c>
      <c r="I349" s="10">
        <v>5543.67</v>
      </c>
      <c r="J349" s="6">
        <v>9</v>
      </c>
      <c r="K349" s="6">
        <v>0</v>
      </c>
    </row>
    <row r="350" spans="1:11" x14ac:dyDescent="0.2">
      <c r="A350" s="2">
        <v>349</v>
      </c>
      <c r="B350" s="6">
        <v>74</v>
      </c>
      <c r="C350" s="8" t="s">
        <v>3</v>
      </c>
      <c r="D350" s="6">
        <v>37</v>
      </c>
      <c r="E350" s="6">
        <v>12</v>
      </c>
      <c r="F350" s="8" t="s">
        <v>4</v>
      </c>
      <c r="G350" s="8" t="s">
        <v>2</v>
      </c>
      <c r="H350" s="4">
        <v>2.8</v>
      </c>
      <c r="I350" s="10">
        <v>18331.580000000002</v>
      </c>
      <c r="J350" s="6">
        <v>0</v>
      </c>
      <c r="K350" s="6">
        <v>1</v>
      </c>
    </row>
    <row r="351" spans="1:11" x14ac:dyDescent="0.2">
      <c r="A351" s="2">
        <v>350</v>
      </c>
      <c r="B351" s="6">
        <v>42</v>
      </c>
      <c r="C351" s="8" t="s">
        <v>0</v>
      </c>
      <c r="D351" s="6">
        <v>11</v>
      </c>
      <c r="E351" s="6">
        <v>13</v>
      </c>
      <c r="F351" s="8" t="s">
        <v>4</v>
      </c>
      <c r="G351" s="8" t="s">
        <v>2</v>
      </c>
      <c r="H351" s="4">
        <v>3.5</v>
      </c>
      <c r="I351" s="10">
        <v>13884.47</v>
      </c>
      <c r="J351" s="6">
        <v>1</v>
      </c>
      <c r="K351" s="6">
        <v>0</v>
      </c>
    </row>
    <row r="352" spans="1:11" x14ac:dyDescent="0.2">
      <c r="A352" s="2">
        <v>351</v>
      </c>
      <c r="B352" s="6">
        <v>67</v>
      </c>
      <c r="C352" s="8" t="s">
        <v>0</v>
      </c>
      <c r="D352" s="6">
        <v>36</v>
      </c>
      <c r="E352" s="6">
        <v>17</v>
      </c>
      <c r="F352" s="8" t="s">
        <v>1</v>
      </c>
      <c r="G352" s="8" t="s">
        <v>2</v>
      </c>
      <c r="H352" s="4">
        <v>1.3</v>
      </c>
      <c r="I352" s="10">
        <v>42214.239999999998</v>
      </c>
      <c r="J352" s="6">
        <v>5</v>
      </c>
      <c r="K352" s="6">
        <v>1</v>
      </c>
    </row>
    <row r="353" spans="1:11" x14ac:dyDescent="0.2">
      <c r="A353" s="2">
        <v>352</v>
      </c>
      <c r="B353" s="6">
        <v>40</v>
      </c>
      <c r="C353" s="8" t="s">
        <v>3</v>
      </c>
      <c r="D353" s="6">
        <v>13</v>
      </c>
      <c r="E353" s="6">
        <v>3</v>
      </c>
      <c r="F353" s="8" t="s">
        <v>1</v>
      </c>
      <c r="G353" s="8" t="s">
        <v>6</v>
      </c>
      <c r="H353" s="4">
        <v>4.5</v>
      </c>
      <c r="I353" s="10">
        <v>16010.72</v>
      </c>
      <c r="J353" s="6">
        <v>9</v>
      </c>
      <c r="K353" s="6">
        <v>0</v>
      </c>
    </row>
    <row r="354" spans="1:11" x14ac:dyDescent="0.2">
      <c r="A354" s="2">
        <v>353</v>
      </c>
      <c r="B354" s="6">
        <v>48</v>
      </c>
      <c r="C354" s="8" t="s">
        <v>0</v>
      </c>
      <c r="D354" s="6">
        <v>43</v>
      </c>
      <c r="E354" s="6">
        <v>17</v>
      </c>
      <c r="F354" s="8" t="s">
        <v>4</v>
      </c>
      <c r="G354" s="8" t="s">
        <v>5</v>
      </c>
      <c r="H354" s="4">
        <v>4.2</v>
      </c>
      <c r="I354" s="10">
        <v>39552.160000000003</v>
      </c>
      <c r="J354" s="6">
        <v>4</v>
      </c>
      <c r="K354" s="6">
        <v>0</v>
      </c>
    </row>
    <row r="355" spans="1:11" x14ac:dyDescent="0.2">
      <c r="A355" s="2">
        <v>354</v>
      </c>
      <c r="B355" s="6">
        <v>47</v>
      </c>
      <c r="C355" s="8" t="s">
        <v>3</v>
      </c>
      <c r="D355" s="6">
        <v>3</v>
      </c>
      <c r="E355" s="6">
        <v>4</v>
      </c>
      <c r="F355" s="8" t="s">
        <v>4</v>
      </c>
      <c r="G355" s="8" t="s">
        <v>2</v>
      </c>
      <c r="H355" s="4">
        <v>3</v>
      </c>
      <c r="I355" s="10">
        <v>44647.67</v>
      </c>
      <c r="J355" s="6">
        <v>8</v>
      </c>
      <c r="K355" s="6">
        <v>0</v>
      </c>
    </row>
    <row r="356" spans="1:11" x14ac:dyDescent="0.2">
      <c r="A356" s="2">
        <v>355</v>
      </c>
      <c r="B356" s="6">
        <v>59</v>
      </c>
      <c r="C356" s="8" t="s">
        <v>0</v>
      </c>
      <c r="D356" s="6">
        <v>33</v>
      </c>
      <c r="E356" s="6">
        <v>15</v>
      </c>
      <c r="F356" s="8" t="s">
        <v>4</v>
      </c>
      <c r="G356" s="8" t="s">
        <v>2</v>
      </c>
      <c r="H356" s="4">
        <v>4.9000000000000004</v>
      </c>
      <c r="I356" s="10">
        <v>21973.96</v>
      </c>
      <c r="J356" s="6">
        <v>4</v>
      </c>
      <c r="K356" s="6">
        <v>1</v>
      </c>
    </row>
    <row r="357" spans="1:11" x14ac:dyDescent="0.2">
      <c r="A357" s="2">
        <v>356</v>
      </c>
      <c r="B357" s="6">
        <v>52</v>
      </c>
      <c r="C357" s="8" t="s">
        <v>0</v>
      </c>
      <c r="D357" s="6">
        <v>6</v>
      </c>
      <c r="E357" s="6">
        <v>0</v>
      </c>
      <c r="F357" s="8" t="s">
        <v>4</v>
      </c>
      <c r="G357" s="8" t="s">
        <v>2</v>
      </c>
      <c r="H357" s="4">
        <v>2.7</v>
      </c>
      <c r="I357" s="10">
        <v>45542.19</v>
      </c>
      <c r="J357" s="6">
        <v>1</v>
      </c>
      <c r="K357" s="6">
        <v>1</v>
      </c>
    </row>
    <row r="358" spans="1:11" x14ac:dyDescent="0.2">
      <c r="A358" s="2">
        <v>357</v>
      </c>
      <c r="B358" s="6">
        <v>24</v>
      </c>
      <c r="C358" s="8" t="s">
        <v>3</v>
      </c>
      <c r="D358" s="6">
        <v>50</v>
      </c>
      <c r="E358" s="6">
        <v>13</v>
      </c>
      <c r="F358" s="8" t="s">
        <v>1</v>
      </c>
      <c r="G358" s="8" t="s">
        <v>2</v>
      </c>
      <c r="H358" s="4">
        <v>4.9000000000000004</v>
      </c>
      <c r="I358" s="10">
        <v>19177.240000000002</v>
      </c>
      <c r="J358" s="6">
        <v>9</v>
      </c>
      <c r="K358" s="6">
        <v>1</v>
      </c>
    </row>
    <row r="359" spans="1:11" x14ac:dyDescent="0.2">
      <c r="A359" s="2">
        <v>358</v>
      </c>
      <c r="B359" s="6">
        <v>77</v>
      </c>
      <c r="C359" s="8" t="s">
        <v>3</v>
      </c>
      <c r="D359" s="6">
        <v>56</v>
      </c>
      <c r="E359" s="6">
        <v>14</v>
      </c>
      <c r="F359" s="8" t="s">
        <v>1</v>
      </c>
      <c r="G359" s="8" t="s">
        <v>2</v>
      </c>
      <c r="H359" s="4">
        <v>3.7</v>
      </c>
      <c r="I359" s="10">
        <v>48221.88</v>
      </c>
      <c r="J359" s="6">
        <v>3</v>
      </c>
      <c r="K359" s="6">
        <v>1</v>
      </c>
    </row>
    <row r="360" spans="1:11" x14ac:dyDescent="0.2">
      <c r="A360" s="2">
        <v>359</v>
      </c>
      <c r="B360" s="6">
        <v>33</v>
      </c>
      <c r="C360" s="8" t="s">
        <v>3</v>
      </c>
      <c r="D360" s="6">
        <v>10</v>
      </c>
      <c r="E360" s="6">
        <v>8</v>
      </c>
      <c r="F360" s="8" t="s">
        <v>1</v>
      </c>
      <c r="G360" s="8" t="s">
        <v>5</v>
      </c>
      <c r="H360" s="4">
        <v>3.5</v>
      </c>
      <c r="I360" s="10">
        <v>4919.83</v>
      </c>
      <c r="J360" s="6">
        <v>8</v>
      </c>
      <c r="K360" s="6">
        <v>0</v>
      </c>
    </row>
    <row r="361" spans="1:11" x14ac:dyDescent="0.2">
      <c r="A361" s="2">
        <v>360</v>
      </c>
      <c r="B361" s="6">
        <v>43</v>
      </c>
      <c r="C361" s="8" t="s">
        <v>0</v>
      </c>
      <c r="D361" s="6">
        <v>5</v>
      </c>
      <c r="E361" s="6">
        <v>14</v>
      </c>
      <c r="F361" s="8" t="s">
        <v>1</v>
      </c>
      <c r="G361" s="8" t="s">
        <v>5</v>
      </c>
      <c r="H361" s="4">
        <v>1.7</v>
      </c>
      <c r="I361" s="10">
        <v>34507.449999999997</v>
      </c>
      <c r="J361" s="6">
        <v>0</v>
      </c>
      <c r="K361" s="6">
        <v>0</v>
      </c>
    </row>
    <row r="362" spans="1:11" x14ac:dyDescent="0.2">
      <c r="A362" s="2">
        <v>361</v>
      </c>
      <c r="B362" s="6">
        <v>65</v>
      </c>
      <c r="C362" s="8" t="s">
        <v>3</v>
      </c>
      <c r="D362" s="6">
        <v>23</v>
      </c>
      <c r="E362" s="6">
        <v>16</v>
      </c>
      <c r="F362" s="8" t="s">
        <v>1</v>
      </c>
      <c r="G362" s="8" t="s">
        <v>2</v>
      </c>
      <c r="H362" s="4">
        <v>4.5</v>
      </c>
      <c r="I362" s="10">
        <v>24943.8</v>
      </c>
      <c r="J362" s="6">
        <v>0</v>
      </c>
      <c r="K362" s="6">
        <v>0</v>
      </c>
    </row>
    <row r="363" spans="1:11" x14ac:dyDescent="0.2">
      <c r="A363" s="2">
        <v>362</v>
      </c>
      <c r="B363" s="6">
        <v>74</v>
      </c>
      <c r="C363" s="8" t="s">
        <v>0</v>
      </c>
      <c r="D363" s="6">
        <v>10</v>
      </c>
      <c r="E363" s="6">
        <v>3</v>
      </c>
      <c r="F363" s="8" t="s">
        <v>4</v>
      </c>
      <c r="G363" s="8" t="s">
        <v>6</v>
      </c>
      <c r="H363" s="4">
        <v>2.7</v>
      </c>
      <c r="I363" s="10">
        <v>19688.62</v>
      </c>
      <c r="J363" s="6">
        <v>6</v>
      </c>
      <c r="K363" s="6">
        <v>0</v>
      </c>
    </row>
    <row r="364" spans="1:11" x14ac:dyDescent="0.2">
      <c r="A364" s="2">
        <v>363</v>
      </c>
      <c r="B364" s="6">
        <v>69</v>
      </c>
      <c r="C364" s="8" t="s">
        <v>0</v>
      </c>
      <c r="D364" s="6">
        <v>44</v>
      </c>
      <c r="E364" s="6">
        <v>11</v>
      </c>
      <c r="F364" s="8" t="s">
        <v>1</v>
      </c>
      <c r="G364" s="8" t="s">
        <v>5</v>
      </c>
      <c r="H364" s="4">
        <v>1.6</v>
      </c>
      <c r="I364" s="10">
        <v>31819.24</v>
      </c>
      <c r="J364" s="6">
        <v>2</v>
      </c>
      <c r="K364" s="6">
        <v>0</v>
      </c>
    </row>
    <row r="365" spans="1:11" x14ac:dyDescent="0.2">
      <c r="A365" s="2">
        <v>364</v>
      </c>
      <c r="B365" s="6">
        <v>77</v>
      </c>
      <c r="C365" s="8" t="s">
        <v>3</v>
      </c>
      <c r="D365" s="6">
        <v>2</v>
      </c>
      <c r="E365" s="6">
        <v>4</v>
      </c>
      <c r="F365" s="8" t="s">
        <v>1</v>
      </c>
      <c r="G365" s="8" t="s">
        <v>6</v>
      </c>
      <c r="H365" s="4">
        <v>1.1000000000000001</v>
      </c>
      <c r="I365" s="10">
        <v>35340.93</v>
      </c>
      <c r="J365" s="6">
        <v>9</v>
      </c>
      <c r="K365" s="6">
        <v>0</v>
      </c>
    </row>
    <row r="366" spans="1:11" x14ac:dyDescent="0.2">
      <c r="A366" s="2">
        <v>365</v>
      </c>
      <c r="B366" s="6">
        <v>66</v>
      </c>
      <c r="C366" s="8" t="s">
        <v>3</v>
      </c>
      <c r="D366" s="6">
        <v>13</v>
      </c>
      <c r="E366" s="6">
        <v>4</v>
      </c>
      <c r="F366" s="8" t="s">
        <v>1</v>
      </c>
      <c r="G366" s="8" t="s">
        <v>5</v>
      </c>
      <c r="H366" s="4">
        <v>3.2</v>
      </c>
      <c r="I366" s="10">
        <v>715.98</v>
      </c>
      <c r="J366" s="6">
        <v>1</v>
      </c>
      <c r="K366" s="6">
        <v>0</v>
      </c>
    </row>
    <row r="367" spans="1:11" x14ac:dyDescent="0.2">
      <c r="A367" s="2">
        <v>366</v>
      </c>
      <c r="B367" s="6">
        <v>19</v>
      </c>
      <c r="C367" s="8" t="s">
        <v>0</v>
      </c>
      <c r="D367" s="6">
        <v>40</v>
      </c>
      <c r="E367" s="6">
        <v>10</v>
      </c>
      <c r="F367" s="8" t="s">
        <v>1</v>
      </c>
      <c r="G367" s="8" t="s">
        <v>2</v>
      </c>
      <c r="H367" s="4">
        <v>3.1</v>
      </c>
      <c r="I367" s="10">
        <v>8764.18</v>
      </c>
      <c r="J367" s="6">
        <v>8</v>
      </c>
      <c r="K367" s="6">
        <v>0</v>
      </c>
    </row>
    <row r="368" spans="1:11" x14ac:dyDescent="0.2">
      <c r="A368" s="2">
        <v>367</v>
      </c>
      <c r="B368" s="6">
        <v>18</v>
      </c>
      <c r="C368" s="8" t="s">
        <v>0</v>
      </c>
      <c r="D368" s="6">
        <v>2</v>
      </c>
      <c r="E368" s="6">
        <v>5</v>
      </c>
      <c r="F368" s="8" t="s">
        <v>1</v>
      </c>
      <c r="G368" s="8" t="s">
        <v>5</v>
      </c>
      <c r="H368" s="4">
        <v>3.9</v>
      </c>
      <c r="I368" s="10">
        <v>35795.78</v>
      </c>
      <c r="J368" s="6">
        <v>2</v>
      </c>
      <c r="K368" s="6">
        <v>0</v>
      </c>
    </row>
    <row r="369" spans="1:11" x14ac:dyDescent="0.2">
      <c r="A369" s="2">
        <v>368</v>
      </c>
      <c r="B369" s="6">
        <v>65</v>
      </c>
      <c r="C369" s="8" t="s">
        <v>3</v>
      </c>
      <c r="D369" s="6">
        <v>20</v>
      </c>
      <c r="E369" s="6">
        <v>6</v>
      </c>
      <c r="F369" s="8" t="s">
        <v>4</v>
      </c>
      <c r="G369" s="8" t="s">
        <v>2</v>
      </c>
      <c r="H369" s="4">
        <v>4.5999999999999996</v>
      </c>
      <c r="I369" s="10">
        <v>33486.080000000002</v>
      </c>
      <c r="J369" s="6">
        <v>1</v>
      </c>
      <c r="K369" s="6">
        <v>0</v>
      </c>
    </row>
    <row r="370" spans="1:11" x14ac:dyDescent="0.2">
      <c r="A370" s="2">
        <v>369</v>
      </c>
      <c r="B370" s="6">
        <v>79</v>
      </c>
      <c r="C370" s="8" t="s">
        <v>3</v>
      </c>
      <c r="D370" s="6">
        <v>1</v>
      </c>
      <c r="E370" s="6">
        <v>13</v>
      </c>
      <c r="F370" s="8" t="s">
        <v>4</v>
      </c>
      <c r="G370" s="8" t="s">
        <v>5</v>
      </c>
      <c r="H370" s="4">
        <v>1.3</v>
      </c>
      <c r="I370" s="10">
        <v>48319.35</v>
      </c>
      <c r="J370" s="6">
        <v>7</v>
      </c>
      <c r="K370" s="6">
        <v>1</v>
      </c>
    </row>
    <row r="371" spans="1:11" x14ac:dyDescent="0.2">
      <c r="A371" s="2">
        <v>370</v>
      </c>
      <c r="B371" s="6">
        <v>29</v>
      </c>
      <c r="C371" s="8" t="s">
        <v>3</v>
      </c>
      <c r="D371" s="6">
        <v>37</v>
      </c>
      <c r="E371" s="6">
        <v>10</v>
      </c>
      <c r="F371" s="8" t="s">
        <v>4</v>
      </c>
      <c r="G371" s="8" t="s">
        <v>2</v>
      </c>
      <c r="H371" s="4">
        <v>3.9</v>
      </c>
      <c r="I371" s="10">
        <v>38171.370000000003</v>
      </c>
      <c r="J371" s="6">
        <v>9</v>
      </c>
      <c r="K371" s="6">
        <v>1</v>
      </c>
    </row>
    <row r="372" spans="1:11" x14ac:dyDescent="0.2">
      <c r="A372" s="2">
        <v>371</v>
      </c>
      <c r="B372" s="6">
        <v>22</v>
      </c>
      <c r="C372" s="8" t="s">
        <v>3</v>
      </c>
      <c r="D372" s="6">
        <v>9</v>
      </c>
      <c r="E372" s="6">
        <v>12</v>
      </c>
      <c r="F372" s="8" t="s">
        <v>1</v>
      </c>
      <c r="G372" s="8" t="s">
        <v>2</v>
      </c>
      <c r="H372" s="4">
        <v>1.7</v>
      </c>
      <c r="I372" s="10">
        <v>47563.25</v>
      </c>
      <c r="J372" s="6">
        <v>5</v>
      </c>
      <c r="K372" s="6">
        <v>1</v>
      </c>
    </row>
    <row r="373" spans="1:11" x14ac:dyDescent="0.2">
      <c r="A373" s="2">
        <v>372</v>
      </c>
      <c r="B373" s="6">
        <v>54</v>
      </c>
      <c r="C373" s="8" t="s">
        <v>3</v>
      </c>
      <c r="D373" s="6">
        <v>17</v>
      </c>
      <c r="E373" s="6">
        <v>1</v>
      </c>
      <c r="F373" s="8" t="s">
        <v>4</v>
      </c>
      <c r="G373" s="8" t="s">
        <v>2</v>
      </c>
      <c r="H373" s="4">
        <v>4.4000000000000004</v>
      </c>
      <c r="I373" s="10">
        <v>35275.75</v>
      </c>
      <c r="J373" s="6">
        <v>5</v>
      </c>
      <c r="K373" s="6">
        <v>0</v>
      </c>
    </row>
    <row r="374" spans="1:11" x14ac:dyDescent="0.2">
      <c r="A374" s="2">
        <v>373</v>
      </c>
      <c r="B374" s="6">
        <v>49</v>
      </c>
      <c r="C374" s="8" t="s">
        <v>0</v>
      </c>
      <c r="D374" s="6">
        <v>9</v>
      </c>
      <c r="E374" s="6">
        <v>6</v>
      </c>
      <c r="F374" s="8" t="s">
        <v>4</v>
      </c>
      <c r="G374" s="8" t="s">
        <v>2</v>
      </c>
      <c r="H374" s="4">
        <v>4.3</v>
      </c>
      <c r="I374" s="10">
        <v>15253.58</v>
      </c>
      <c r="J374" s="6">
        <v>9</v>
      </c>
      <c r="K374" s="6">
        <v>0</v>
      </c>
    </row>
    <row r="375" spans="1:11" x14ac:dyDescent="0.2">
      <c r="A375" s="2">
        <v>374</v>
      </c>
      <c r="B375" s="6">
        <v>76</v>
      </c>
      <c r="C375" s="8" t="s">
        <v>0</v>
      </c>
      <c r="D375" s="6">
        <v>11</v>
      </c>
      <c r="E375" s="6">
        <v>19</v>
      </c>
      <c r="F375" s="8" t="s">
        <v>1</v>
      </c>
      <c r="G375" s="8" t="s">
        <v>6</v>
      </c>
      <c r="H375" s="4">
        <v>3.2</v>
      </c>
      <c r="I375" s="10">
        <v>5715.56</v>
      </c>
      <c r="J375" s="6">
        <v>6</v>
      </c>
      <c r="K375" s="6">
        <v>1</v>
      </c>
    </row>
    <row r="376" spans="1:11" x14ac:dyDescent="0.2">
      <c r="A376" s="2">
        <v>375</v>
      </c>
      <c r="B376" s="6">
        <v>72</v>
      </c>
      <c r="C376" s="8" t="s">
        <v>0</v>
      </c>
      <c r="D376" s="6">
        <v>15</v>
      </c>
      <c r="E376" s="6">
        <v>3</v>
      </c>
      <c r="F376" s="8" t="s">
        <v>1</v>
      </c>
      <c r="G376" s="8" t="s">
        <v>2</v>
      </c>
      <c r="H376" s="4">
        <v>3.8</v>
      </c>
      <c r="I376" s="10">
        <v>39200.28</v>
      </c>
      <c r="J376" s="6">
        <v>6</v>
      </c>
      <c r="K376" s="6">
        <v>0</v>
      </c>
    </row>
    <row r="377" spans="1:11" x14ac:dyDescent="0.2">
      <c r="A377" s="2">
        <v>376</v>
      </c>
      <c r="B377" s="6">
        <v>26</v>
      </c>
      <c r="C377" s="8" t="s">
        <v>0</v>
      </c>
      <c r="D377" s="6">
        <v>24</v>
      </c>
      <c r="E377" s="6">
        <v>7</v>
      </c>
      <c r="F377" s="8" t="s">
        <v>1</v>
      </c>
      <c r="G377" s="8" t="s">
        <v>6</v>
      </c>
      <c r="H377" s="4">
        <v>2.2999999999999998</v>
      </c>
      <c r="I377" s="10">
        <v>32385.39</v>
      </c>
      <c r="J377" s="6">
        <v>5</v>
      </c>
      <c r="K377" s="6">
        <v>0</v>
      </c>
    </row>
    <row r="378" spans="1:11" x14ac:dyDescent="0.2">
      <c r="A378" s="2">
        <v>377</v>
      </c>
      <c r="B378" s="6">
        <v>58</v>
      </c>
      <c r="C378" s="8" t="s">
        <v>3</v>
      </c>
      <c r="D378" s="6">
        <v>38</v>
      </c>
      <c r="E378" s="6">
        <v>19</v>
      </c>
      <c r="F378" s="8" t="s">
        <v>4</v>
      </c>
      <c r="G378" s="8" t="s">
        <v>6</v>
      </c>
      <c r="H378" s="4">
        <v>2.9</v>
      </c>
      <c r="I378" s="10">
        <v>2885.21</v>
      </c>
      <c r="J378" s="6">
        <v>3</v>
      </c>
      <c r="K378" s="6">
        <v>0</v>
      </c>
    </row>
    <row r="379" spans="1:11" x14ac:dyDescent="0.2">
      <c r="A379" s="2">
        <v>378</v>
      </c>
      <c r="B379" s="6">
        <v>52</v>
      </c>
      <c r="C379" s="8" t="s">
        <v>3</v>
      </c>
      <c r="D379" s="6">
        <v>55</v>
      </c>
      <c r="E379" s="6">
        <v>18</v>
      </c>
      <c r="F379" s="8" t="s">
        <v>4</v>
      </c>
      <c r="G379" s="8" t="s">
        <v>2</v>
      </c>
      <c r="H379" s="4">
        <v>4.3</v>
      </c>
      <c r="I379" s="10">
        <v>18322.5</v>
      </c>
      <c r="J379" s="6">
        <v>8</v>
      </c>
      <c r="K379" s="6">
        <v>0</v>
      </c>
    </row>
    <row r="380" spans="1:11" x14ac:dyDescent="0.2">
      <c r="A380" s="2">
        <v>379</v>
      </c>
      <c r="B380" s="6">
        <v>36</v>
      </c>
      <c r="C380" s="8" t="s">
        <v>3</v>
      </c>
      <c r="D380" s="6">
        <v>35</v>
      </c>
      <c r="E380" s="6">
        <v>12</v>
      </c>
      <c r="F380" s="8" t="s">
        <v>1</v>
      </c>
      <c r="G380" s="8" t="s">
        <v>6</v>
      </c>
      <c r="H380" s="4">
        <v>2.8</v>
      </c>
      <c r="I380" s="10">
        <v>47861.59</v>
      </c>
      <c r="J380" s="6">
        <v>5</v>
      </c>
      <c r="K380" s="6">
        <v>0</v>
      </c>
    </row>
    <row r="381" spans="1:11" x14ac:dyDescent="0.2">
      <c r="A381" s="2">
        <v>380</v>
      </c>
      <c r="B381" s="6">
        <v>65</v>
      </c>
      <c r="C381" s="8" t="s">
        <v>0</v>
      </c>
      <c r="D381" s="6">
        <v>30</v>
      </c>
      <c r="E381" s="6">
        <v>13</v>
      </c>
      <c r="F381" s="8" t="s">
        <v>1</v>
      </c>
      <c r="G381" s="8" t="s">
        <v>5</v>
      </c>
      <c r="H381" s="4">
        <v>2.4</v>
      </c>
      <c r="I381" s="10">
        <v>25269.86</v>
      </c>
      <c r="J381" s="6">
        <v>3</v>
      </c>
      <c r="K381" s="6">
        <v>0</v>
      </c>
    </row>
    <row r="382" spans="1:11" x14ac:dyDescent="0.2">
      <c r="A382" s="2">
        <v>381</v>
      </c>
      <c r="B382" s="6">
        <v>33</v>
      </c>
      <c r="C382" s="8" t="s">
        <v>0</v>
      </c>
      <c r="D382" s="6">
        <v>31</v>
      </c>
      <c r="E382" s="6">
        <v>9</v>
      </c>
      <c r="F382" s="8" t="s">
        <v>4</v>
      </c>
      <c r="G382" s="8" t="s">
        <v>2</v>
      </c>
      <c r="H382" s="4">
        <v>3</v>
      </c>
      <c r="I382" s="10">
        <v>21920.09</v>
      </c>
      <c r="J382" s="6">
        <v>2</v>
      </c>
      <c r="K382" s="6">
        <v>0</v>
      </c>
    </row>
    <row r="383" spans="1:11" x14ac:dyDescent="0.2">
      <c r="A383" s="2">
        <v>382</v>
      </c>
      <c r="B383" s="6">
        <v>20</v>
      </c>
      <c r="C383" s="8" t="s">
        <v>3</v>
      </c>
      <c r="D383" s="6">
        <v>49</v>
      </c>
      <c r="E383" s="6">
        <v>10</v>
      </c>
      <c r="F383" s="8" t="s">
        <v>4</v>
      </c>
      <c r="G383" s="8" t="s">
        <v>6</v>
      </c>
      <c r="H383" s="4">
        <v>4.3</v>
      </c>
      <c r="I383" s="10">
        <v>23156.13</v>
      </c>
      <c r="J383" s="6">
        <v>3</v>
      </c>
      <c r="K383" s="6">
        <v>0</v>
      </c>
    </row>
    <row r="384" spans="1:11" x14ac:dyDescent="0.2">
      <c r="A384" s="2">
        <v>383</v>
      </c>
      <c r="B384" s="6">
        <v>37</v>
      </c>
      <c r="C384" s="8" t="s">
        <v>3</v>
      </c>
      <c r="D384" s="6">
        <v>5</v>
      </c>
      <c r="E384" s="6">
        <v>1</v>
      </c>
      <c r="F384" s="8" t="s">
        <v>1</v>
      </c>
      <c r="G384" s="8" t="s">
        <v>2</v>
      </c>
      <c r="H384" s="4">
        <v>2.2999999999999998</v>
      </c>
      <c r="I384" s="10">
        <v>10839.69</v>
      </c>
      <c r="J384" s="6">
        <v>2</v>
      </c>
      <c r="K384" s="6">
        <v>0</v>
      </c>
    </row>
    <row r="385" spans="1:11" x14ac:dyDescent="0.2">
      <c r="A385" s="2">
        <v>384</v>
      </c>
      <c r="B385" s="6">
        <v>41</v>
      </c>
      <c r="C385" s="8" t="s">
        <v>0</v>
      </c>
      <c r="D385" s="6">
        <v>44</v>
      </c>
      <c r="E385" s="6">
        <v>8</v>
      </c>
      <c r="F385" s="8" t="s">
        <v>1</v>
      </c>
      <c r="G385" s="8" t="s">
        <v>2</v>
      </c>
      <c r="H385" s="4">
        <v>1.7</v>
      </c>
      <c r="I385" s="10">
        <v>18751</v>
      </c>
      <c r="J385" s="6">
        <v>1</v>
      </c>
      <c r="K385" s="6">
        <v>1</v>
      </c>
    </row>
    <row r="386" spans="1:11" x14ac:dyDescent="0.2">
      <c r="A386" s="2">
        <v>385</v>
      </c>
      <c r="B386" s="6">
        <v>71</v>
      </c>
      <c r="C386" s="8" t="s">
        <v>0</v>
      </c>
      <c r="D386" s="6">
        <v>50</v>
      </c>
      <c r="E386" s="6">
        <v>16</v>
      </c>
      <c r="F386" s="8" t="s">
        <v>4</v>
      </c>
      <c r="G386" s="8" t="s">
        <v>2</v>
      </c>
      <c r="H386" s="4">
        <v>3.8</v>
      </c>
      <c r="I386" s="10">
        <v>18805.759999999998</v>
      </c>
      <c r="J386" s="6">
        <v>4</v>
      </c>
      <c r="K386" s="6">
        <v>0</v>
      </c>
    </row>
    <row r="387" spans="1:11" x14ac:dyDescent="0.2">
      <c r="A387" s="2">
        <v>386</v>
      </c>
      <c r="B387" s="6">
        <v>73</v>
      </c>
      <c r="C387" s="8" t="s">
        <v>3</v>
      </c>
      <c r="D387" s="6">
        <v>14</v>
      </c>
      <c r="E387" s="6">
        <v>2</v>
      </c>
      <c r="F387" s="8" t="s">
        <v>1</v>
      </c>
      <c r="G387" s="8" t="s">
        <v>6</v>
      </c>
      <c r="H387" s="4">
        <v>4.3</v>
      </c>
      <c r="I387" s="10">
        <v>3091.57</v>
      </c>
      <c r="J387" s="6">
        <v>1</v>
      </c>
      <c r="K387" s="6">
        <v>0</v>
      </c>
    </row>
    <row r="388" spans="1:11" x14ac:dyDescent="0.2">
      <c r="A388" s="2">
        <v>387</v>
      </c>
      <c r="B388" s="6">
        <v>50</v>
      </c>
      <c r="C388" s="8" t="s">
        <v>3</v>
      </c>
      <c r="D388" s="6">
        <v>53</v>
      </c>
      <c r="E388" s="6">
        <v>5</v>
      </c>
      <c r="F388" s="8" t="s">
        <v>4</v>
      </c>
      <c r="G388" s="8" t="s">
        <v>5</v>
      </c>
      <c r="H388" s="4">
        <v>1.4</v>
      </c>
      <c r="I388" s="10">
        <v>38494.6</v>
      </c>
      <c r="J388" s="6">
        <v>5</v>
      </c>
      <c r="K388" s="6">
        <v>1</v>
      </c>
    </row>
    <row r="389" spans="1:11" x14ac:dyDescent="0.2">
      <c r="A389" s="2">
        <v>388</v>
      </c>
      <c r="B389" s="6">
        <v>41</v>
      </c>
      <c r="C389" s="8" t="s">
        <v>0</v>
      </c>
      <c r="D389" s="6">
        <v>56</v>
      </c>
      <c r="E389" s="6">
        <v>4</v>
      </c>
      <c r="F389" s="8" t="s">
        <v>4</v>
      </c>
      <c r="G389" s="8" t="s">
        <v>5</v>
      </c>
      <c r="H389" s="4">
        <v>2</v>
      </c>
      <c r="I389" s="10">
        <v>21116.97</v>
      </c>
      <c r="J389" s="6">
        <v>2</v>
      </c>
      <c r="K389" s="6">
        <v>0</v>
      </c>
    </row>
    <row r="390" spans="1:11" x14ac:dyDescent="0.2">
      <c r="A390" s="2">
        <v>389</v>
      </c>
      <c r="B390" s="6">
        <v>69</v>
      </c>
      <c r="C390" s="8" t="s">
        <v>3</v>
      </c>
      <c r="D390" s="6">
        <v>11</v>
      </c>
      <c r="E390" s="6">
        <v>4</v>
      </c>
      <c r="F390" s="8" t="s">
        <v>4</v>
      </c>
      <c r="G390" s="8" t="s">
        <v>6</v>
      </c>
      <c r="H390" s="4">
        <v>1.6</v>
      </c>
      <c r="I390" s="10">
        <v>41197.9</v>
      </c>
      <c r="J390" s="6">
        <v>5</v>
      </c>
      <c r="K390" s="6">
        <v>0</v>
      </c>
    </row>
    <row r="391" spans="1:11" x14ac:dyDescent="0.2">
      <c r="A391" s="2">
        <v>390</v>
      </c>
      <c r="B391" s="6">
        <v>28</v>
      </c>
      <c r="C391" s="8" t="s">
        <v>3</v>
      </c>
      <c r="D391" s="6">
        <v>9</v>
      </c>
      <c r="E391" s="6">
        <v>14</v>
      </c>
      <c r="F391" s="8" t="s">
        <v>4</v>
      </c>
      <c r="G391" s="8" t="s">
        <v>2</v>
      </c>
      <c r="H391" s="4">
        <v>2.4</v>
      </c>
      <c r="I391" s="10">
        <v>42592.23</v>
      </c>
      <c r="J391" s="6">
        <v>9</v>
      </c>
      <c r="K391" s="6">
        <v>0</v>
      </c>
    </row>
    <row r="392" spans="1:11" x14ac:dyDescent="0.2">
      <c r="A392" s="2">
        <v>391</v>
      </c>
      <c r="B392" s="6">
        <v>66</v>
      </c>
      <c r="C392" s="8" t="s">
        <v>3</v>
      </c>
      <c r="D392" s="6">
        <v>34</v>
      </c>
      <c r="E392" s="6">
        <v>16</v>
      </c>
      <c r="F392" s="8" t="s">
        <v>1</v>
      </c>
      <c r="G392" s="8" t="s">
        <v>6</v>
      </c>
      <c r="H392" s="4">
        <v>2.8</v>
      </c>
      <c r="I392" s="10">
        <v>10993.71</v>
      </c>
      <c r="J392" s="6">
        <v>8</v>
      </c>
      <c r="K392" s="6">
        <v>0</v>
      </c>
    </row>
    <row r="393" spans="1:11" x14ac:dyDescent="0.2">
      <c r="A393" s="2">
        <v>392</v>
      </c>
      <c r="B393" s="6">
        <v>25</v>
      </c>
      <c r="C393" s="8" t="s">
        <v>0</v>
      </c>
      <c r="D393" s="6">
        <v>12</v>
      </c>
      <c r="E393" s="6">
        <v>8</v>
      </c>
      <c r="F393" s="8" t="s">
        <v>1</v>
      </c>
      <c r="G393" s="8" t="s">
        <v>6</v>
      </c>
      <c r="H393" s="4">
        <v>4</v>
      </c>
      <c r="I393" s="10">
        <v>33039</v>
      </c>
      <c r="J393" s="6">
        <v>0</v>
      </c>
      <c r="K393" s="6">
        <v>0</v>
      </c>
    </row>
    <row r="394" spans="1:11" x14ac:dyDescent="0.2">
      <c r="A394" s="2">
        <v>393</v>
      </c>
      <c r="B394" s="6">
        <v>53</v>
      </c>
      <c r="C394" s="8" t="s">
        <v>0</v>
      </c>
      <c r="D394" s="6">
        <v>35</v>
      </c>
      <c r="E394" s="6">
        <v>2</v>
      </c>
      <c r="F394" s="8" t="s">
        <v>4</v>
      </c>
      <c r="G394" s="8" t="s">
        <v>6</v>
      </c>
      <c r="H394" s="4">
        <v>3.6</v>
      </c>
      <c r="I394" s="10">
        <v>23877.95</v>
      </c>
      <c r="J394" s="6">
        <v>5</v>
      </c>
      <c r="K394" s="6">
        <v>1</v>
      </c>
    </row>
    <row r="395" spans="1:11" x14ac:dyDescent="0.2">
      <c r="A395" s="2">
        <v>394</v>
      </c>
      <c r="B395" s="6">
        <v>55</v>
      </c>
      <c r="C395" s="8" t="s">
        <v>0</v>
      </c>
      <c r="D395" s="6">
        <v>35</v>
      </c>
      <c r="E395" s="6">
        <v>19</v>
      </c>
      <c r="F395" s="8" t="s">
        <v>4</v>
      </c>
      <c r="G395" s="8" t="s">
        <v>2</v>
      </c>
      <c r="H395" s="4">
        <v>3.5</v>
      </c>
      <c r="I395" s="10">
        <v>44067.76</v>
      </c>
      <c r="J395" s="6">
        <v>8</v>
      </c>
      <c r="K395" s="6">
        <v>0</v>
      </c>
    </row>
    <row r="396" spans="1:11" x14ac:dyDescent="0.2">
      <c r="A396" s="2">
        <v>395</v>
      </c>
      <c r="B396" s="6">
        <v>57</v>
      </c>
      <c r="C396" s="8" t="s">
        <v>0</v>
      </c>
      <c r="D396" s="6">
        <v>1</v>
      </c>
      <c r="E396" s="6">
        <v>16</v>
      </c>
      <c r="F396" s="8" t="s">
        <v>4</v>
      </c>
      <c r="G396" s="8" t="s">
        <v>6</v>
      </c>
      <c r="H396" s="4">
        <v>2.4</v>
      </c>
      <c r="I396" s="10">
        <v>11179.16</v>
      </c>
      <c r="J396" s="6">
        <v>3</v>
      </c>
      <c r="K396" s="6">
        <v>0</v>
      </c>
    </row>
    <row r="397" spans="1:11" x14ac:dyDescent="0.2">
      <c r="A397" s="2">
        <v>396</v>
      </c>
      <c r="B397" s="6">
        <v>37</v>
      </c>
      <c r="C397" s="8" t="s">
        <v>0</v>
      </c>
      <c r="D397" s="6">
        <v>40</v>
      </c>
      <c r="E397" s="6">
        <v>9</v>
      </c>
      <c r="F397" s="8" t="s">
        <v>4</v>
      </c>
      <c r="G397" s="8" t="s">
        <v>2</v>
      </c>
      <c r="H397" s="4">
        <v>4.4000000000000004</v>
      </c>
      <c r="I397" s="10">
        <v>34051.75</v>
      </c>
      <c r="J397" s="6">
        <v>1</v>
      </c>
      <c r="K397" s="6">
        <v>0</v>
      </c>
    </row>
    <row r="398" spans="1:11" x14ac:dyDescent="0.2">
      <c r="A398" s="2">
        <v>397</v>
      </c>
      <c r="B398" s="6">
        <v>79</v>
      </c>
      <c r="C398" s="8" t="s">
        <v>0</v>
      </c>
      <c r="D398" s="6">
        <v>22</v>
      </c>
      <c r="E398" s="6">
        <v>2</v>
      </c>
      <c r="F398" s="8" t="s">
        <v>4</v>
      </c>
      <c r="G398" s="8" t="s">
        <v>6</v>
      </c>
      <c r="H398" s="4">
        <v>2.9</v>
      </c>
      <c r="I398" s="10">
        <v>30583.73</v>
      </c>
      <c r="J398" s="6">
        <v>3</v>
      </c>
      <c r="K398" s="6">
        <v>0</v>
      </c>
    </row>
    <row r="399" spans="1:11" x14ac:dyDescent="0.2">
      <c r="A399" s="2">
        <v>398</v>
      </c>
      <c r="B399" s="6">
        <v>52</v>
      </c>
      <c r="C399" s="8" t="s">
        <v>0</v>
      </c>
      <c r="D399" s="6">
        <v>29</v>
      </c>
      <c r="E399" s="6">
        <v>17</v>
      </c>
      <c r="F399" s="8" t="s">
        <v>1</v>
      </c>
      <c r="G399" s="8" t="s">
        <v>5</v>
      </c>
      <c r="H399" s="4">
        <v>4.9000000000000004</v>
      </c>
      <c r="I399" s="10">
        <v>15117.42</v>
      </c>
      <c r="J399" s="6">
        <v>0</v>
      </c>
      <c r="K399" s="6">
        <v>0</v>
      </c>
    </row>
    <row r="400" spans="1:11" x14ac:dyDescent="0.2">
      <c r="A400" s="2">
        <v>399</v>
      </c>
      <c r="B400" s="6">
        <v>65</v>
      </c>
      <c r="C400" s="8" t="s">
        <v>3</v>
      </c>
      <c r="D400" s="6">
        <v>8</v>
      </c>
      <c r="E400" s="6">
        <v>17</v>
      </c>
      <c r="F400" s="8" t="s">
        <v>1</v>
      </c>
      <c r="G400" s="8" t="s">
        <v>6</v>
      </c>
      <c r="H400" s="4">
        <v>3.5</v>
      </c>
      <c r="I400" s="10">
        <v>7261.74</v>
      </c>
      <c r="J400" s="6">
        <v>2</v>
      </c>
      <c r="K400" s="6">
        <v>0</v>
      </c>
    </row>
    <row r="401" spans="1:11" x14ac:dyDescent="0.2">
      <c r="A401" s="2">
        <v>400</v>
      </c>
      <c r="B401" s="6">
        <v>79</v>
      </c>
      <c r="C401" s="8" t="s">
        <v>3</v>
      </c>
      <c r="D401" s="6">
        <v>11</v>
      </c>
      <c r="E401" s="6">
        <v>16</v>
      </c>
      <c r="F401" s="8" t="s">
        <v>1</v>
      </c>
      <c r="G401" s="8" t="s">
        <v>6</v>
      </c>
      <c r="H401" s="4">
        <v>1.5</v>
      </c>
      <c r="I401" s="10">
        <v>32756.17</v>
      </c>
      <c r="J401" s="6">
        <v>9</v>
      </c>
      <c r="K401" s="6">
        <v>0</v>
      </c>
    </row>
    <row r="402" spans="1:11" x14ac:dyDescent="0.2">
      <c r="A402" s="2">
        <v>401</v>
      </c>
      <c r="B402" s="6">
        <v>42</v>
      </c>
      <c r="C402" s="8" t="s">
        <v>3</v>
      </c>
      <c r="D402" s="6">
        <v>41</v>
      </c>
      <c r="E402" s="6">
        <v>2</v>
      </c>
      <c r="F402" s="8" t="s">
        <v>1</v>
      </c>
      <c r="G402" s="8" t="s">
        <v>5</v>
      </c>
      <c r="H402" s="4">
        <v>3.7</v>
      </c>
      <c r="I402" s="10">
        <v>37060.57</v>
      </c>
      <c r="J402" s="6">
        <v>8</v>
      </c>
      <c r="K402" s="6">
        <v>0</v>
      </c>
    </row>
    <row r="403" spans="1:11" x14ac:dyDescent="0.2">
      <c r="A403" s="2">
        <v>402</v>
      </c>
      <c r="B403" s="6">
        <v>52</v>
      </c>
      <c r="C403" s="8" t="s">
        <v>3</v>
      </c>
      <c r="D403" s="6">
        <v>37</v>
      </c>
      <c r="E403" s="6">
        <v>2</v>
      </c>
      <c r="F403" s="8" t="s">
        <v>4</v>
      </c>
      <c r="G403" s="8" t="s">
        <v>2</v>
      </c>
      <c r="H403" s="4">
        <v>2.2999999999999998</v>
      </c>
      <c r="I403" s="10">
        <v>16123.55</v>
      </c>
      <c r="J403" s="6">
        <v>9</v>
      </c>
      <c r="K403" s="6">
        <v>0</v>
      </c>
    </row>
    <row r="404" spans="1:11" x14ac:dyDescent="0.2">
      <c r="A404" s="2">
        <v>403</v>
      </c>
      <c r="B404" s="6">
        <v>42</v>
      </c>
      <c r="C404" s="8" t="s">
        <v>3</v>
      </c>
      <c r="D404" s="6">
        <v>14</v>
      </c>
      <c r="E404" s="6">
        <v>5</v>
      </c>
      <c r="F404" s="8" t="s">
        <v>4</v>
      </c>
      <c r="G404" s="8" t="s">
        <v>2</v>
      </c>
      <c r="H404" s="4">
        <v>3.7</v>
      </c>
      <c r="I404" s="10">
        <v>32419.21</v>
      </c>
      <c r="J404" s="6">
        <v>4</v>
      </c>
      <c r="K404" s="6">
        <v>0</v>
      </c>
    </row>
    <row r="405" spans="1:11" x14ac:dyDescent="0.2">
      <c r="A405" s="2">
        <v>404</v>
      </c>
      <c r="B405" s="6">
        <v>46</v>
      </c>
      <c r="C405" s="8" t="s">
        <v>3</v>
      </c>
      <c r="D405" s="6">
        <v>30</v>
      </c>
      <c r="E405" s="6">
        <v>12</v>
      </c>
      <c r="F405" s="8" t="s">
        <v>4</v>
      </c>
      <c r="G405" s="8" t="s">
        <v>6</v>
      </c>
      <c r="H405" s="4">
        <v>1.3</v>
      </c>
      <c r="I405" s="10">
        <v>20058.98</v>
      </c>
      <c r="J405" s="6">
        <v>5</v>
      </c>
      <c r="K405" s="6">
        <v>1</v>
      </c>
    </row>
    <row r="406" spans="1:11" x14ac:dyDescent="0.2">
      <c r="A406" s="2">
        <v>405</v>
      </c>
      <c r="B406" s="6">
        <v>35</v>
      </c>
      <c r="C406" s="8" t="s">
        <v>3</v>
      </c>
      <c r="D406" s="6">
        <v>35</v>
      </c>
      <c r="E406" s="6">
        <v>14</v>
      </c>
      <c r="F406" s="8" t="s">
        <v>4</v>
      </c>
      <c r="G406" s="8" t="s">
        <v>5</v>
      </c>
      <c r="H406" s="4">
        <v>1.7</v>
      </c>
      <c r="I406" s="10">
        <v>35803.74</v>
      </c>
      <c r="J406" s="6">
        <v>2</v>
      </c>
      <c r="K406" s="6">
        <v>0</v>
      </c>
    </row>
    <row r="407" spans="1:11" x14ac:dyDescent="0.2">
      <c r="A407" s="2">
        <v>406</v>
      </c>
      <c r="B407" s="6">
        <v>63</v>
      </c>
      <c r="C407" s="8" t="s">
        <v>0</v>
      </c>
      <c r="D407" s="6">
        <v>21</v>
      </c>
      <c r="E407" s="6">
        <v>8</v>
      </c>
      <c r="F407" s="8" t="s">
        <v>4</v>
      </c>
      <c r="G407" s="8" t="s">
        <v>2</v>
      </c>
      <c r="H407" s="4">
        <v>4.4000000000000004</v>
      </c>
      <c r="I407" s="10">
        <v>10361.16</v>
      </c>
      <c r="J407" s="6">
        <v>4</v>
      </c>
      <c r="K407" s="6">
        <v>0</v>
      </c>
    </row>
    <row r="408" spans="1:11" x14ac:dyDescent="0.2">
      <c r="A408" s="2">
        <v>407</v>
      </c>
      <c r="B408" s="6">
        <v>35</v>
      </c>
      <c r="C408" s="8" t="s">
        <v>0</v>
      </c>
      <c r="D408" s="6">
        <v>37</v>
      </c>
      <c r="E408" s="6">
        <v>3</v>
      </c>
      <c r="F408" s="8" t="s">
        <v>1</v>
      </c>
      <c r="G408" s="8" t="s">
        <v>6</v>
      </c>
      <c r="H408" s="4">
        <v>1.9</v>
      </c>
      <c r="I408" s="10">
        <v>44565.64</v>
      </c>
      <c r="J408" s="6">
        <v>7</v>
      </c>
      <c r="K408" s="6">
        <v>0</v>
      </c>
    </row>
    <row r="409" spans="1:11" x14ac:dyDescent="0.2">
      <c r="A409" s="2">
        <v>408</v>
      </c>
      <c r="B409" s="6">
        <v>19</v>
      </c>
      <c r="C409" s="8" t="s">
        <v>3</v>
      </c>
      <c r="D409" s="6">
        <v>5</v>
      </c>
      <c r="E409" s="6">
        <v>13</v>
      </c>
      <c r="F409" s="8" t="s">
        <v>4</v>
      </c>
      <c r="G409" s="8" t="s">
        <v>5</v>
      </c>
      <c r="H409" s="4">
        <v>4.3</v>
      </c>
      <c r="I409" s="10">
        <v>14726.78</v>
      </c>
      <c r="J409" s="6">
        <v>5</v>
      </c>
      <c r="K409" s="6">
        <v>0</v>
      </c>
    </row>
    <row r="410" spans="1:11" x14ac:dyDescent="0.2">
      <c r="A410" s="2">
        <v>409</v>
      </c>
      <c r="B410" s="6">
        <v>71</v>
      </c>
      <c r="C410" s="8" t="s">
        <v>3</v>
      </c>
      <c r="D410" s="6">
        <v>19</v>
      </c>
      <c r="E410" s="6">
        <v>4</v>
      </c>
      <c r="F410" s="8" t="s">
        <v>1</v>
      </c>
      <c r="G410" s="8" t="s">
        <v>2</v>
      </c>
      <c r="H410" s="4">
        <v>2.1</v>
      </c>
      <c r="I410" s="10">
        <v>18705.41</v>
      </c>
      <c r="J410" s="6">
        <v>3</v>
      </c>
      <c r="K410" s="6">
        <v>0</v>
      </c>
    </row>
    <row r="411" spans="1:11" x14ac:dyDescent="0.2">
      <c r="A411" s="2">
        <v>410</v>
      </c>
      <c r="B411" s="6">
        <v>52</v>
      </c>
      <c r="C411" s="8" t="s">
        <v>0</v>
      </c>
      <c r="D411" s="6">
        <v>59</v>
      </c>
      <c r="E411" s="6">
        <v>1</v>
      </c>
      <c r="F411" s="8" t="s">
        <v>1</v>
      </c>
      <c r="G411" s="8" t="s">
        <v>2</v>
      </c>
      <c r="H411" s="4">
        <v>3.6</v>
      </c>
      <c r="I411" s="10">
        <v>3375.55</v>
      </c>
      <c r="J411" s="6">
        <v>1</v>
      </c>
      <c r="K411" s="6">
        <v>0</v>
      </c>
    </row>
    <row r="412" spans="1:11" x14ac:dyDescent="0.2">
      <c r="A412" s="2">
        <v>411</v>
      </c>
      <c r="B412" s="6">
        <v>33</v>
      </c>
      <c r="C412" s="8" t="s">
        <v>3</v>
      </c>
      <c r="D412" s="6">
        <v>14</v>
      </c>
      <c r="E412" s="6">
        <v>10</v>
      </c>
      <c r="F412" s="8" t="s">
        <v>1</v>
      </c>
      <c r="G412" s="8" t="s">
        <v>5</v>
      </c>
      <c r="H412" s="4">
        <v>3.8</v>
      </c>
      <c r="I412" s="10">
        <v>6019.85</v>
      </c>
      <c r="J412" s="6">
        <v>8</v>
      </c>
      <c r="K412" s="6">
        <v>1</v>
      </c>
    </row>
    <row r="413" spans="1:11" x14ac:dyDescent="0.2">
      <c r="A413" s="2">
        <v>412</v>
      </c>
      <c r="B413" s="6">
        <v>78</v>
      </c>
      <c r="C413" s="8" t="s">
        <v>3</v>
      </c>
      <c r="D413" s="6">
        <v>26</v>
      </c>
      <c r="E413" s="6">
        <v>8</v>
      </c>
      <c r="F413" s="8" t="s">
        <v>1</v>
      </c>
      <c r="G413" s="8" t="s">
        <v>5</v>
      </c>
      <c r="H413" s="4">
        <v>3.1</v>
      </c>
      <c r="I413" s="10">
        <v>26035.16</v>
      </c>
      <c r="J413" s="6">
        <v>0</v>
      </c>
      <c r="K413" s="6">
        <v>1</v>
      </c>
    </row>
    <row r="414" spans="1:11" x14ac:dyDescent="0.2">
      <c r="A414" s="2">
        <v>413</v>
      </c>
      <c r="B414" s="6">
        <v>58</v>
      </c>
      <c r="C414" s="8" t="s">
        <v>0</v>
      </c>
      <c r="D414" s="6">
        <v>4</v>
      </c>
      <c r="E414" s="6">
        <v>2</v>
      </c>
      <c r="F414" s="8" t="s">
        <v>4</v>
      </c>
      <c r="G414" s="8" t="s">
        <v>5</v>
      </c>
      <c r="H414" s="4">
        <v>2.2000000000000002</v>
      </c>
      <c r="I414" s="10">
        <v>13745.84</v>
      </c>
      <c r="J414" s="6">
        <v>0</v>
      </c>
      <c r="K414" s="6">
        <v>0</v>
      </c>
    </row>
    <row r="415" spans="1:11" x14ac:dyDescent="0.2">
      <c r="A415" s="2">
        <v>414</v>
      </c>
      <c r="B415" s="6">
        <v>53</v>
      </c>
      <c r="C415" s="8" t="s">
        <v>3</v>
      </c>
      <c r="D415" s="6">
        <v>25</v>
      </c>
      <c r="E415" s="6">
        <v>8</v>
      </c>
      <c r="F415" s="8" t="s">
        <v>1</v>
      </c>
      <c r="G415" s="8" t="s">
        <v>5</v>
      </c>
      <c r="H415" s="4">
        <v>1.9</v>
      </c>
      <c r="I415" s="10">
        <v>41856.269999999997</v>
      </c>
      <c r="J415" s="6">
        <v>3</v>
      </c>
      <c r="K415" s="6">
        <v>0</v>
      </c>
    </row>
    <row r="416" spans="1:11" x14ac:dyDescent="0.2">
      <c r="A416" s="2">
        <v>415</v>
      </c>
      <c r="B416" s="6">
        <v>50</v>
      </c>
      <c r="C416" s="8" t="s">
        <v>0</v>
      </c>
      <c r="D416" s="6">
        <v>45</v>
      </c>
      <c r="E416" s="6">
        <v>2</v>
      </c>
      <c r="F416" s="8" t="s">
        <v>1</v>
      </c>
      <c r="G416" s="8" t="s">
        <v>6</v>
      </c>
      <c r="H416" s="4">
        <v>1.1000000000000001</v>
      </c>
      <c r="I416" s="10">
        <v>1227.32</v>
      </c>
      <c r="J416" s="6">
        <v>6</v>
      </c>
      <c r="K416" s="6">
        <v>1</v>
      </c>
    </row>
    <row r="417" spans="1:11" x14ac:dyDescent="0.2">
      <c r="A417" s="2">
        <v>416</v>
      </c>
      <c r="B417" s="6">
        <v>21</v>
      </c>
      <c r="C417" s="8" t="s">
        <v>3</v>
      </c>
      <c r="D417" s="6">
        <v>42</v>
      </c>
      <c r="E417" s="6">
        <v>1</v>
      </c>
      <c r="F417" s="8" t="s">
        <v>1</v>
      </c>
      <c r="G417" s="8" t="s">
        <v>5</v>
      </c>
      <c r="H417" s="4">
        <v>2.2000000000000002</v>
      </c>
      <c r="I417" s="10">
        <v>19265.16</v>
      </c>
      <c r="J417" s="6">
        <v>0</v>
      </c>
      <c r="K417" s="6">
        <v>1</v>
      </c>
    </row>
    <row r="418" spans="1:11" x14ac:dyDescent="0.2">
      <c r="A418" s="2">
        <v>417</v>
      </c>
      <c r="B418" s="6">
        <v>50</v>
      </c>
      <c r="C418" s="8" t="s">
        <v>0</v>
      </c>
      <c r="D418" s="6">
        <v>25</v>
      </c>
      <c r="E418" s="6">
        <v>11</v>
      </c>
      <c r="F418" s="8" t="s">
        <v>4</v>
      </c>
      <c r="G418" s="8" t="s">
        <v>2</v>
      </c>
      <c r="H418" s="4">
        <v>3.6</v>
      </c>
      <c r="I418" s="10">
        <v>17198.599999999999</v>
      </c>
      <c r="J418" s="6">
        <v>8</v>
      </c>
      <c r="K418" s="6">
        <v>1</v>
      </c>
    </row>
    <row r="419" spans="1:11" x14ac:dyDescent="0.2">
      <c r="A419" s="2">
        <v>418</v>
      </c>
      <c r="B419" s="6">
        <v>31</v>
      </c>
      <c r="C419" s="8" t="s">
        <v>0</v>
      </c>
      <c r="D419" s="6">
        <v>18</v>
      </c>
      <c r="E419" s="6">
        <v>9</v>
      </c>
      <c r="F419" s="8" t="s">
        <v>4</v>
      </c>
      <c r="G419" s="8" t="s">
        <v>2</v>
      </c>
      <c r="H419" s="4">
        <v>4.8</v>
      </c>
      <c r="I419" s="10">
        <v>1456.72</v>
      </c>
      <c r="J419" s="6">
        <v>3</v>
      </c>
      <c r="K419" s="6">
        <v>0</v>
      </c>
    </row>
    <row r="420" spans="1:11" x14ac:dyDescent="0.2">
      <c r="A420" s="2">
        <v>419</v>
      </c>
      <c r="B420" s="6">
        <v>38</v>
      </c>
      <c r="C420" s="8" t="s">
        <v>0</v>
      </c>
      <c r="D420" s="6">
        <v>40</v>
      </c>
      <c r="E420" s="6">
        <v>8</v>
      </c>
      <c r="F420" s="8" t="s">
        <v>4</v>
      </c>
      <c r="G420" s="8" t="s">
        <v>6</v>
      </c>
      <c r="H420" s="4">
        <v>4.5</v>
      </c>
      <c r="I420" s="10">
        <v>6656.24</v>
      </c>
      <c r="J420" s="6">
        <v>2</v>
      </c>
      <c r="K420" s="6">
        <v>0</v>
      </c>
    </row>
    <row r="421" spans="1:11" x14ac:dyDescent="0.2">
      <c r="A421" s="2">
        <v>420</v>
      </c>
      <c r="B421" s="6">
        <v>65</v>
      </c>
      <c r="C421" s="8" t="s">
        <v>3</v>
      </c>
      <c r="D421" s="6">
        <v>8</v>
      </c>
      <c r="E421" s="6">
        <v>14</v>
      </c>
      <c r="F421" s="8" t="s">
        <v>1</v>
      </c>
      <c r="G421" s="8" t="s">
        <v>2</v>
      </c>
      <c r="H421" s="4">
        <v>4.0999999999999996</v>
      </c>
      <c r="I421" s="10">
        <v>20975.31</v>
      </c>
      <c r="J421" s="6">
        <v>0</v>
      </c>
      <c r="K421" s="6">
        <v>0</v>
      </c>
    </row>
    <row r="422" spans="1:11" x14ac:dyDescent="0.2">
      <c r="A422" s="2">
        <v>421</v>
      </c>
      <c r="B422" s="6">
        <v>37</v>
      </c>
      <c r="C422" s="8" t="s">
        <v>0</v>
      </c>
      <c r="D422" s="6">
        <v>39</v>
      </c>
      <c r="E422" s="6">
        <v>7</v>
      </c>
      <c r="F422" s="8" t="s">
        <v>1</v>
      </c>
      <c r="G422" s="8" t="s">
        <v>2</v>
      </c>
      <c r="H422" s="4">
        <v>4.2</v>
      </c>
      <c r="I422" s="10">
        <v>24896.799999999999</v>
      </c>
      <c r="J422" s="6">
        <v>9</v>
      </c>
      <c r="K422" s="6">
        <v>0</v>
      </c>
    </row>
    <row r="423" spans="1:11" x14ac:dyDescent="0.2">
      <c r="A423" s="2">
        <v>422</v>
      </c>
      <c r="B423" s="6">
        <v>73</v>
      </c>
      <c r="C423" s="8" t="s">
        <v>3</v>
      </c>
      <c r="D423" s="6">
        <v>40</v>
      </c>
      <c r="E423" s="6">
        <v>4</v>
      </c>
      <c r="F423" s="8" t="s">
        <v>4</v>
      </c>
      <c r="G423" s="8" t="s">
        <v>5</v>
      </c>
      <c r="H423" s="4">
        <v>3.7</v>
      </c>
      <c r="I423" s="10">
        <v>20512.34</v>
      </c>
      <c r="J423" s="6">
        <v>3</v>
      </c>
      <c r="K423" s="6">
        <v>0</v>
      </c>
    </row>
    <row r="424" spans="1:11" x14ac:dyDescent="0.2">
      <c r="A424" s="2">
        <v>423</v>
      </c>
      <c r="B424" s="6">
        <v>25</v>
      </c>
      <c r="C424" s="8" t="s">
        <v>3</v>
      </c>
      <c r="D424" s="6">
        <v>14</v>
      </c>
      <c r="E424" s="6">
        <v>10</v>
      </c>
      <c r="F424" s="8" t="s">
        <v>1</v>
      </c>
      <c r="G424" s="8" t="s">
        <v>2</v>
      </c>
      <c r="H424" s="4">
        <v>2</v>
      </c>
      <c r="I424" s="10">
        <v>26781.42</v>
      </c>
      <c r="J424" s="6">
        <v>8</v>
      </c>
      <c r="K424" s="6">
        <v>0</v>
      </c>
    </row>
    <row r="425" spans="1:11" x14ac:dyDescent="0.2">
      <c r="A425" s="2">
        <v>424</v>
      </c>
      <c r="B425" s="6">
        <v>24</v>
      </c>
      <c r="C425" s="8" t="s">
        <v>3</v>
      </c>
      <c r="D425" s="6">
        <v>32</v>
      </c>
      <c r="E425" s="6">
        <v>1</v>
      </c>
      <c r="F425" s="8" t="s">
        <v>4</v>
      </c>
      <c r="G425" s="8" t="s">
        <v>6</v>
      </c>
      <c r="H425" s="4">
        <v>4.5999999999999996</v>
      </c>
      <c r="I425" s="10">
        <v>29959.02</v>
      </c>
      <c r="J425" s="6">
        <v>9</v>
      </c>
      <c r="K425" s="6">
        <v>1</v>
      </c>
    </row>
    <row r="426" spans="1:11" x14ac:dyDescent="0.2">
      <c r="A426" s="2">
        <v>425</v>
      </c>
      <c r="B426" s="6">
        <v>20</v>
      </c>
      <c r="C426" s="8" t="s">
        <v>3</v>
      </c>
      <c r="D426" s="6">
        <v>51</v>
      </c>
      <c r="E426" s="6">
        <v>14</v>
      </c>
      <c r="F426" s="8" t="s">
        <v>4</v>
      </c>
      <c r="G426" s="8" t="s">
        <v>5</v>
      </c>
      <c r="H426" s="4">
        <v>3.7</v>
      </c>
      <c r="I426" s="10">
        <v>991.23</v>
      </c>
      <c r="J426" s="6">
        <v>5</v>
      </c>
      <c r="K426" s="6">
        <v>0</v>
      </c>
    </row>
    <row r="427" spans="1:11" x14ac:dyDescent="0.2">
      <c r="A427" s="2">
        <v>426</v>
      </c>
      <c r="B427" s="6">
        <v>34</v>
      </c>
      <c r="C427" s="8" t="s">
        <v>0</v>
      </c>
      <c r="D427" s="6">
        <v>38</v>
      </c>
      <c r="E427" s="6">
        <v>5</v>
      </c>
      <c r="F427" s="8" t="s">
        <v>1</v>
      </c>
      <c r="G427" s="8" t="s">
        <v>5</v>
      </c>
      <c r="H427" s="4">
        <v>3.2</v>
      </c>
      <c r="I427" s="10">
        <v>23472.71</v>
      </c>
      <c r="J427" s="6">
        <v>5</v>
      </c>
      <c r="K427" s="6">
        <v>1</v>
      </c>
    </row>
    <row r="428" spans="1:11" x14ac:dyDescent="0.2">
      <c r="A428" s="2">
        <v>427</v>
      </c>
      <c r="B428" s="6">
        <v>50</v>
      </c>
      <c r="C428" s="8" t="s">
        <v>0</v>
      </c>
      <c r="D428" s="6">
        <v>33</v>
      </c>
      <c r="E428" s="6">
        <v>7</v>
      </c>
      <c r="F428" s="8" t="s">
        <v>1</v>
      </c>
      <c r="G428" s="8" t="s">
        <v>6</v>
      </c>
      <c r="H428" s="4">
        <v>1.4</v>
      </c>
      <c r="I428" s="10">
        <v>48193.21</v>
      </c>
      <c r="J428" s="6">
        <v>0</v>
      </c>
      <c r="K428" s="6">
        <v>0</v>
      </c>
    </row>
    <row r="429" spans="1:11" x14ac:dyDescent="0.2">
      <c r="A429" s="2">
        <v>428</v>
      </c>
      <c r="B429" s="6">
        <v>65</v>
      </c>
      <c r="C429" s="8" t="s">
        <v>3</v>
      </c>
      <c r="D429" s="6">
        <v>23</v>
      </c>
      <c r="E429" s="6">
        <v>4</v>
      </c>
      <c r="F429" s="8" t="s">
        <v>1</v>
      </c>
      <c r="G429" s="8" t="s">
        <v>5</v>
      </c>
      <c r="H429" s="4">
        <v>2.8</v>
      </c>
      <c r="I429" s="10">
        <v>26192.1</v>
      </c>
      <c r="J429" s="6">
        <v>9</v>
      </c>
      <c r="K429" s="6">
        <v>0</v>
      </c>
    </row>
    <row r="430" spans="1:11" x14ac:dyDescent="0.2">
      <c r="A430" s="2">
        <v>429</v>
      </c>
      <c r="B430" s="6">
        <v>29</v>
      </c>
      <c r="C430" s="8" t="s">
        <v>3</v>
      </c>
      <c r="D430" s="6">
        <v>15</v>
      </c>
      <c r="E430" s="6">
        <v>15</v>
      </c>
      <c r="F430" s="8" t="s">
        <v>1</v>
      </c>
      <c r="G430" s="8" t="s">
        <v>5</v>
      </c>
      <c r="H430" s="4">
        <v>2.8</v>
      </c>
      <c r="I430" s="10">
        <v>34038.339999999997</v>
      </c>
      <c r="J430" s="6">
        <v>1</v>
      </c>
      <c r="K430" s="6">
        <v>0</v>
      </c>
    </row>
    <row r="431" spans="1:11" x14ac:dyDescent="0.2">
      <c r="A431" s="2">
        <v>430</v>
      </c>
      <c r="B431" s="6">
        <v>76</v>
      </c>
      <c r="C431" s="8" t="s">
        <v>0</v>
      </c>
      <c r="D431" s="6">
        <v>33</v>
      </c>
      <c r="E431" s="6">
        <v>17</v>
      </c>
      <c r="F431" s="8" t="s">
        <v>4</v>
      </c>
      <c r="G431" s="8" t="s">
        <v>6</v>
      </c>
      <c r="H431" s="4">
        <v>4.5</v>
      </c>
      <c r="I431" s="10">
        <v>15937.26</v>
      </c>
      <c r="J431" s="6">
        <v>5</v>
      </c>
      <c r="K431" s="6">
        <v>1</v>
      </c>
    </row>
    <row r="432" spans="1:11" x14ac:dyDescent="0.2">
      <c r="A432" s="2">
        <v>431</v>
      </c>
      <c r="B432" s="6">
        <v>68</v>
      </c>
      <c r="C432" s="8" t="s">
        <v>3</v>
      </c>
      <c r="D432" s="6">
        <v>25</v>
      </c>
      <c r="E432" s="6">
        <v>5</v>
      </c>
      <c r="F432" s="8" t="s">
        <v>4</v>
      </c>
      <c r="G432" s="8" t="s">
        <v>5</v>
      </c>
      <c r="H432" s="4">
        <v>3.2</v>
      </c>
      <c r="I432" s="10">
        <v>38812.57</v>
      </c>
      <c r="J432" s="6">
        <v>1</v>
      </c>
      <c r="K432" s="6">
        <v>0</v>
      </c>
    </row>
    <row r="433" spans="1:11" x14ac:dyDescent="0.2">
      <c r="A433" s="2">
        <v>432</v>
      </c>
      <c r="B433" s="6">
        <v>39</v>
      </c>
      <c r="C433" s="8" t="s">
        <v>0</v>
      </c>
      <c r="D433" s="6">
        <v>17</v>
      </c>
      <c r="E433" s="6">
        <v>4</v>
      </c>
      <c r="F433" s="8" t="s">
        <v>4</v>
      </c>
      <c r="G433" s="8" t="s">
        <v>6</v>
      </c>
      <c r="H433" s="4">
        <v>2.5</v>
      </c>
      <c r="I433" s="10">
        <v>38759.61</v>
      </c>
      <c r="J433" s="6">
        <v>2</v>
      </c>
      <c r="K433" s="6">
        <v>0</v>
      </c>
    </row>
    <row r="434" spans="1:11" x14ac:dyDescent="0.2">
      <c r="A434" s="2">
        <v>433</v>
      </c>
      <c r="B434" s="6">
        <v>72</v>
      </c>
      <c r="C434" s="8" t="s">
        <v>3</v>
      </c>
      <c r="D434" s="6">
        <v>33</v>
      </c>
      <c r="E434" s="6">
        <v>15</v>
      </c>
      <c r="F434" s="8" t="s">
        <v>4</v>
      </c>
      <c r="G434" s="8" t="s">
        <v>6</v>
      </c>
      <c r="H434" s="4">
        <v>4.9000000000000004</v>
      </c>
      <c r="I434" s="10">
        <v>26304.15</v>
      </c>
      <c r="J434" s="6">
        <v>3</v>
      </c>
      <c r="K434" s="6">
        <v>1</v>
      </c>
    </row>
    <row r="435" spans="1:11" x14ac:dyDescent="0.2">
      <c r="A435" s="2">
        <v>434</v>
      </c>
      <c r="B435" s="6">
        <v>39</v>
      </c>
      <c r="C435" s="8" t="s">
        <v>3</v>
      </c>
      <c r="D435" s="6">
        <v>47</v>
      </c>
      <c r="E435" s="6">
        <v>12</v>
      </c>
      <c r="F435" s="8" t="s">
        <v>4</v>
      </c>
      <c r="G435" s="8" t="s">
        <v>2</v>
      </c>
      <c r="H435" s="4">
        <v>1.4</v>
      </c>
      <c r="I435" s="10">
        <v>48812.68</v>
      </c>
      <c r="J435" s="6">
        <v>4</v>
      </c>
      <c r="K435" s="6">
        <v>0</v>
      </c>
    </row>
    <row r="436" spans="1:11" x14ac:dyDescent="0.2">
      <c r="A436" s="2">
        <v>435</v>
      </c>
      <c r="B436" s="6">
        <v>63</v>
      </c>
      <c r="C436" s="8" t="s">
        <v>0</v>
      </c>
      <c r="D436" s="6">
        <v>55</v>
      </c>
      <c r="E436" s="6">
        <v>4</v>
      </c>
      <c r="F436" s="8" t="s">
        <v>1</v>
      </c>
      <c r="G436" s="8" t="s">
        <v>2</v>
      </c>
      <c r="H436" s="4">
        <v>2.7</v>
      </c>
      <c r="I436" s="10">
        <v>6714.74</v>
      </c>
      <c r="J436" s="6">
        <v>8</v>
      </c>
      <c r="K436" s="6">
        <v>0</v>
      </c>
    </row>
    <row r="437" spans="1:11" x14ac:dyDescent="0.2">
      <c r="A437" s="2">
        <v>436</v>
      </c>
      <c r="B437" s="6">
        <v>47</v>
      </c>
      <c r="C437" s="8" t="s">
        <v>3</v>
      </c>
      <c r="D437" s="6">
        <v>2</v>
      </c>
      <c r="E437" s="6">
        <v>12</v>
      </c>
      <c r="F437" s="8" t="s">
        <v>4</v>
      </c>
      <c r="G437" s="8" t="s">
        <v>5</v>
      </c>
      <c r="H437" s="4">
        <v>1.2</v>
      </c>
      <c r="I437" s="10">
        <v>1338.91</v>
      </c>
      <c r="J437" s="6">
        <v>3</v>
      </c>
      <c r="K437" s="6">
        <v>0</v>
      </c>
    </row>
    <row r="438" spans="1:11" x14ac:dyDescent="0.2">
      <c r="A438" s="2">
        <v>437</v>
      </c>
      <c r="B438" s="6">
        <v>55</v>
      </c>
      <c r="C438" s="8" t="s">
        <v>0</v>
      </c>
      <c r="D438" s="6">
        <v>14</v>
      </c>
      <c r="E438" s="6">
        <v>16</v>
      </c>
      <c r="F438" s="8" t="s">
        <v>4</v>
      </c>
      <c r="G438" s="8" t="s">
        <v>5</v>
      </c>
      <c r="H438" s="4">
        <v>4</v>
      </c>
      <c r="I438" s="10">
        <v>38622.83</v>
      </c>
      <c r="J438" s="6">
        <v>8</v>
      </c>
      <c r="K438" s="6">
        <v>0</v>
      </c>
    </row>
    <row r="439" spans="1:11" x14ac:dyDescent="0.2">
      <c r="A439" s="2">
        <v>438</v>
      </c>
      <c r="B439" s="6">
        <v>55</v>
      </c>
      <c r="C439" s="8" t="s">
        <v>3</v>
      </c>
      <c r="D439" s="6">
        <v>53</v>
      </c>
      <c r="E439" s="6">
        <v>17</v>
      </c>
      <c r="F439" s="8" t="s">
        <v>4</v>
      </c>
      <c r="G439" s="8" t="s">
        <v>6</v>
      </c>
      <c r="H439" s="4">
        <v>4.7</v>
      </c>
      <c r="I439" s="10">
        <v>40454.199999999997</v>
      </c>
      <c r="J439" s="6">
        <v>9</v>
      </c>
      <c r="K439" s="6">
        <v>0</v>
      </c>
    </row>
    <row r="440" spans="1:11" x14ac:dyDescent="0.2">
      <c r="A440" s="2">
        <v>439</v>
      </c>
      <c r="B440" s="6">
        <v>62</v>
      </c>
      <c r="C440" s="8" t="s">
        <v>3</v>
      </c>
      <c r="D440" s="6">
        <v>40</v>
      </c>
      <c r="E440" s="6">
        <v>7</v>
      </c>
      <c r="F440" s="8" t="s">
        <v>1</v>
      </c>
      <c r="G440" s="8" t="s">
        <v>5</v>
      </c>
      <c r="H440" s="4">
        <v>2.1</v>
      </c>
      <c r="I440" s="10">
        <v>6450.26</v>
      </c>
      <c r="J440" s="6">
        <v>2</v>
      </c>
      <c r="K440" s="6">
        <v>0</v>
      </c>
    </row>
    <row r="441" spans="1:11" x14ac:dyDescent="0.2">
      <c r="A441" s="2">
        <v>440</v>
      </c>
      <c r="B441" s="6">
        <v>68</v>
      </c>
      <c r="C441" s="8" t="s">
        <v>3</v>
      </c>
      <c r="D441" s="6">
        <v>40</v>
      </c>
      <c r="E441" s="6">
        <v>12</v>
      </c>
      <c r="F441" s="8" t="s">
        <v>1</v>
      </c>
      <c r="G441" s="8" t="s">
        <v>6</v>
      </c>
      <c r="H441" s="4">
        <v>4.4000000000000004</v>
      </c>
      <c r="I441" s="10">
        <v>13646.35</v>
      </c>
      <c r="J441" s="6">
        <v>7</v>
      </c>
      <c r="K441" s="6">
        <v>0</v>
      </c>
    </row>
    <row r="442" spans="1:11" x14ac:dyDescent="0.2">
      <c r="A442" s="2">
        <v>441</v>
      </c>
      <c r="B442" s="6">
        <v>71</v>
      </c>
      <c r="C442" s="8" t="s">
        <v>0</v>
      </c>
      <c r="D442" s="6">
        <v>51</v>
      </c>
      <c r="E442" s="6">
        <v>18</v>
      </c>
      <c r="F442" s="8" t="s">
        <v>1</v>
      </c>
      <c r="G442" s="8" t="s">
        <v>6</v>
      </c>
      <c r="H442" s="4">
        <v>2.2000000000000002</v>
      </c>
      <c r="I442" s="10">
        <v>1368.84</v>
      </c>
      <c r="J442" s="6">
        <v>0</v>
      </c>
      <c r="K442" s="6">
        <v>0</v>
      </c>
    </row>
    <row r="443" spans="1:11" x14ac:dyDescent="0.2">
      <c r="A443" s="2">
        <v>442</v>
      </c>
      <c r="B443" s="6">
        <v>25</v>
      </c>
      <c r="C443" s="8" t="s">
        <v>3</v>
      </c>
      <c r="D443" s="6">
        <v>39</v>
      </c>
      <c r="E443" s="6">
        <v>2</v>
      </c>
      <c r="F443" s="8" t="s">
        <v>1</v>
      </c>
      <c r="G443" s="8" t="s">
        <v>5</v>
      </c>
      <c r="H443" s="4">
        <v>4.5999999999999996</v>
      </c>
      <c r="I443" s="10">
        <v>15018.78</v>
      </c>
      <c r="J443" s="6">
        <v>8</v>
      </c>
      <c r="K443" s="6">
        <v>0</v>
      </c>
    </row>
    <row r="444" spans="1:11" x14ac:dyDescent="0.2">
      <c r="A444" s="2">
        <v>443</v>
      </c>
      <c r="B444" s="6">
        <v>44</v>
      </c>
      <c r="C444" s="8" t="s">
        <v>3</v>
      </c>
      <c r="D444" s="6">
        <v>51</v>
      </c>
      <c r="E444" s="6">
        <v>7</v>
      </c>
      <c r="F444" s="8" t="s">
        <v>4</v>
      </c>
      <c r="G444" s="8" t="s">
        <v>6</v>
      </c>
      <c r="H444" s="4">
        <v>4</v>
      </c>
      <c r="I444" s="10">
        <v>38770.519999999997</v>
      </c>
      <c r="J444" s="6">
        <v>8</v>
      </c>
      <c r="K444" s="6">
        <v>0</v>
      </c>
    </row>
    <row r="445" spans="1:11" x14ac:dyDescent="0.2">
      <c r="A445" s="2">
        <v>444</v>
      </c>
      <c r="B445" s="6">
        <v>44</v>
      </c>
      <c r="C445" s="8" t="s">
        <v>3</v>
      </c>
      <c r="D445" s="6">
        <v>6</v>
      </c>
      <c r="E445" s="6">
        <v>1</v>
      </c>
      <c r="F445" s="8" t="s">
        <v>4</v>
      </c>
      <c r="G445" s="8" t="s">
        <v>2</v>
      </c>
      <c r="H445" s="4">
        <v>4.2</v>
      </c>
      <c r="I445" s="10">
        <v>26139.05</v>
      </c>
      <c r="J445" s="6">
        <v>9</v>
      </c>
      <c r="K445" s="6">
        <v>0</v>
      </c>
    </row>
    <row r="446" spans="1:11" x14ac:dyDescent="0.2">
      <c r="A446" s="2">
        <v>445</v>
      </c>
      <c r="B446" s="6">
        <v>51</v>
      </c>
      <c r="C446" s="8" t="s">
        <v>3</v>
      </c>
      <c r="D446" s="6">
        <v>6</v>
      </c>
      <c r="E446" s="6">
        <v>7</v>
      </c>
      <c r="F446" s="8" t="s">
        <v>1</v>
      </c>
      <c r="G446" s="8" t="s">
        <v>5</v>
      </c>
      <c r="H446" s="4">
        <v>1.1000000000000001</v>
      </c>
      <c r="I446" s="10">
        <v>17730.73</v>
      </c>
      <c r="J446" s="6">
        <v>1</v>
      </c>
      <c r="K446" s="6">
        <v>0</v>
      </c>
    </row>
    <row r="447" spans="1:11" x14ac:dyDescent="0.2">
      <c r="A447" s="2">
        <v>446</v>
      </c>
      <c r="B447" s="6">
        <v>38</v>
      </c>
      <c r="C447" s="8" t="s">
        <v>0</v>
      </c>
      <c r="D447" s="6">
        <v>3</v>
      </c>
      <c r="E447" s="6">
        <v>12</v>
      </c>
      <c r="F447" s="8" t="s">
        <v>1</v>
      </c>
      <c r="G447" s="8" t="s">
        <v>2</v>
      </c>
      <c r="H447" s="4">
        <v>4.9000000000000004</v>
      </c>
      <c r="I447" s="10">
        <v>18901.099999999999</v>
      </c>
      <c r="J447" s="6">
        <v>3</v>
      </c>
      <c r="K447" s="6">
        <v>0</v>
      </c>
    </row>
    <row r="448" spans="1:11" x14ac:dyDescent="0.2">
      <c r="A448" s="2">
        <v>447</v>
      </c>
      <c r="B448" s="6">
        <v>47</v>
      </c>
      <c r="C448" s="8" t="s">
        <v>0</v>
      </c>
      <c r="D448" s="6">
        <v>7</v>
      </c>
      <c r="E448" s="6">
        <v>12</v>
      </c>
      <c r="F448" s="8" t="s">
        <v>4</v>
      </c>
      <c r="G448" s="8" t="s">
        <v>5</v>
      </c>
      <c r="H448" s="4">
        <v>3.9</v>
      </c>
      <c r="I448" s="10">
        <v>567</v>
      </c>
      <c r="J448" s="6">
        <v>7</v>
      </c>
      <c r="K448" s="6">
        <v>0</v>
      </c>
    </row>
    <row r="449" spans="1:11" x14ac:dyDescent="0.2">
      <c r="A449" s="2">
        <v>448</v>
      </c>
      <c r="B449" s="6">
        <v>50</v>
      </c>
      <c r="C449" s="8" t="s">
        <v>3</v>
      </c>
      <c r="D449" s="6">
        <v>51</v>
      </c>
      <c r="E449" s="6">
        <v>0</v>
      </c>
      <c r="F449" s="8" t="s">
        <v>4</v>
      </c>
      <c r="G449" s="8" t="s">
        <v>6</v>
      </c>
      <c r="H449" s="4">
        <v>2.2000000000000002</v>
      </c>
      <c r="I449" s="10">
        <v>15340.13</v>
      </c>
      <c r="J449" s="6">
        <v>6</v>
      </c>
      <c r="K449" s="6">
        <v>0</v>
      </c>
    </row>
    <row r="450" spans="1:11" x14ac:dyDescent="0.2">
      <c r="A450" s="2">
        <v>449</v>
      </c>
      <c r="B450" s="6">
        <v>45</v>
      </c>
      <c r="C450" s="8" t="s">
        <v>0</v>
      </c>
      <c r="D450" s="6">
        <v>8</v>
      </c>
      <c r="E450" s="6">
        <v>5</v>
      </c>
      <c r="F450" s="8" t="s">
        <v>1</v>
      </c>
      <c r="G450" s="8" t="s">
        <v>5</v>
      </c>
      <c r="H450" s="4">
        <v>4.3</v>
      </c>
      <c r="I450" s="10">
        <v>32499.71</v>
      </c>
      <c r="J450" s="6">
        <v>0</v>
      </c>
      <c r="K450" s="6">
        <v>1</v>
      </c>
    </row>
    <row r="451" spans="1:11" x14ac:dyDescent="0.2">
      <c r="A451" s="2">
        <v>450</v>
      </c>
      <c r="B451" s="6">
        <v>64</v>
      </c>
      <c r="C451" s="8" t="s">
        <v>3</v>
      </c>
      <c r="D451" s="6">
        <v>42</v>
      </c>
      <c r="E451" s="6">
        <v>18</v>
      </c>
      <c r="F451" s="8" t="s">
        <v>1</v>
      </c>
      <c r="G451" s="8" t="s">
        <v>2</v>
      </c>
      <c r="H451" s="4">
        <v>2.1</v>
      </c>
      <c r="I451" s="10">
        <v>48722.62</v>
      </c>
      <c r="J451" s="6">
        <v>4</v>
      </c>
      <c r="K451" s="6">
        <v>0</v>
      </c>
    </row>
    <row r="452" spans="1:11" x14ac:dyDescent="0.2">
      <c r="A452" s="2">
        <v>451</v>
      </c>
      <c r="B452" s="6">
        <v>50</v>
      </c>
      <c r="C452" s="8" t="s">
        <v>3</v>
      </c>
      <c r="D452" s="6">
        <v>52</v>
      </c>
      <c r="E452" s="6">
        <v>15</v>
      </c>
      <c r="F452" s="8" t="s">
        <v>1</v>
      </c>
      <c r="G452" s="8" t="s">
        <v>6</v>
      </c>
      <c r="H452" s="4">
        <v>4.5</v>
      </c>
      <c r="I452" s="10">
        <v>42429.51</v>
      </c>
      <c r="J452" s="6">
        <v>6</v>
      </c>
      <c r="K452" s="6">
        <v>1</v>
      </c>
    </row>
    <row r="453" spans="1:11" x14ac:dyDescent="0.2">
      <c r="A453" s="2">
        <v>452</v>
      </c>
      <c r="B453" s="6">
        <v>22</v>
      </c>
      <c r="C453" s="8" t="s">
        <v>3</v>
      </c>
      <c r="D453" s="6">
        <v>15</v>
      </c>
      <c r="E453" s="6">
        <v>7</v>
      </c>
      <c r="F453" s="8" t="s">
        <v>1</v>
      </c>
      <c r="G453" s="8" t="s">
        <v>5</v>
      </c>
      <c r="H453" s="4">
        <v>1.5</v>
      </c>
      <c r="I453" s="10">
        <v>1667.95</v>
      </c>
      <c r="J453" s="6">
        <v>3</v>
      </c>
      <c r="K453" s="6">
        <v>1</v>
      </c>
    </row>
    <row r="454" spans="1:11" x14ac:dyDescent="0.2">
      <c r="A454" s="2">
        <v>453</v>
      </c>
      <c r="B454" s="6">
        <v>77</v>
      </c>
      <c r="C454" s="8" t="s">
        <v>0</v>
      </c>
      <c r="D454" s="6">
        <v>47</v>
      </c>
      <c r="E454" s="6">
        <v>0</v>
      </c>
      <c r="F454" s="8" t="s">
        <v>4</v>
      </c>
      <c r="G454" s="8" t="s">
        <v>5</v>
      </c>
      <c r="H454" s="4">
        <v>3.8</v>
      </c>
      <c r="I454" s="10">
        <v>44978.75</v>
      </c>
      <c r="J454" s="6">
        <v>0</v>
      </c>
      <c r="K454" s="6">
        <v>0</v>
      </c>
    </row>
    <row r="455" spans="1:11" x14ac:dyDescent="0.2">
      <c r="A455" s="2">
        <v>454</v>
      </c>
      <c r="B455" s="6">
        <v>78</v>
      </c>
      <c r="C455" s="8" t="s">
        <v>0</v>
      </c>
      <c r="D455" s="6">
        <v>29</v>
      </c>
      <c r="E455" s="6">
        <v>15</v>
      </c>
      <c r="F455" s="8" t="s">
        <v>4</v>
      </c>
      <c r="G455" s="8" t="s">
        <v>5</v>
      </c>
      <c r="H455" s="4">
        <v>3.2</v>
      </c>
      <c r="I455" s="10">
        <v>39268.32</v>
      </c>
      <c r="J455" s="6">
        <v>8</v>
      </c>
      <c r="K455" s="6">
        <v>0</v>
      </c>
    </row>
    <row r="456" spans="1:11" x14ac:dyDescent="0.2">
      <c r="A456" s="2">
        <v>455</v>
      </c>
      <c r="B456" s="6">
        <v>65</v>
      </c>
      <c r="C456" s="8" t="s">
        <v>0</v>
      </c>
      <c r="D456" s="6">
        <v>33</v>
      </c>
      <c r="E456" s="6">
        <v>8</v>
      </c>
      <c r="F456" s="8" t="s">
        <v>4</v>
      </c>
      <c r="G456" s="8" t="s">
        <v>2</v>
      </c>
      <c r="H456" s="4">
        <v>1.4</v>
      </c>
      <c r="I456" s="10">
        <v>39128.620000000003</v>
      </c>
      <c r="J456" s="6">
        <v>4</v>
      </c>
      <c r="K456" s="6">
        <v>0</v>
      </c>
    </row>
    <row r="457" spans="1:11" x14ac:dyDescent="0.2">
      <c r="A457" s="2">
        <v>456</v>
      </c>
      <c r="B457" s="6">
        <v>36</v>
      </c>
      <c r="C457" s="8" t="s">
        <v>0</v>
      </c>
      <c r="D457" s="6">
        <v>52</v>
      </c>
      <c r="E457" s="6">
        <v>12</v>
      </c>
      <c r="F457" s="8" t="s">
        <v>1</v>
      </c>
      <c r="G457" s="8" t="s">
        <v>2</v>
      </c>
      <c r="H457" s="4">
        <v>2</v>
      </c>
      <c r="I457" s="10">
        <v>23170.79</v>
      </c>
      <c r="J457" s="6">
        <v>1</v>
      </c>
      <c r="K457" s="6">
        <v>1</v>
      </c>
    </row>
    <row r="458" spans="1:11" x14ac:dyDescent="0.2">
      <c r="A458" s="2">
        <v>457</v>
      </c>
      <c r="B458" s="6">
        <v>21</v>
      </c>
      <c r="C458" s="8" t="s">
        <v>0</v>
      </c>
      <c r="D458" s="6">
        <v>30</v>
      </c>
      <c r="E458" s="6">
        <v>10</v>
      </c>
      <c r="F458" s="8" t="s">
        <v>1</v>
      </c>
      <c r="G458" s="8" t="s">
        <v>5</v>
      </c>
      <c r="H458" s="4">
        <v>1</v>
      </c>
      <c r="I458" s="10">
        <v>20201.259999999998</v>
      </c>
      <c r="J458" s="6">
        <v>7</v>
      </c>
      <c r="K458" s="6">
        <v>0</v>
      </c>
    </row>
    <row r="459" spans="1:11" x14ac:dyDescent="0.2">
      <c r="A459" s="2">
        <v>458</v>
      </c>
      <c r="B459" s="6">
        <v>52</v>
      </c>
      <c r="C459" s="8" t="s">
        <v>0</v>
      </c>
      <c r="D459" s="6">
        <v>39</v>
      </c>
      <c r="E459" s="6">
        <v>12</v>
      </c>
      <c r="F459" s="8" t="s">
        <v>4</v>
      </c>
      <c r="G459" s="8" t="s">
        <v>6</v>
      </c>
      <c r="H459" s="4">
        <v>2.9</v>
      </c>
      <c r="I459" s="10">
        <v>15494.33</v>
      </c>
      <c r="J459" s="6">
        <v>1</v>
      </c>
      <c r="K459" s="6">
        <v>0</v>
      </c>
    </row>
    <row r="460" spans="1:11" x14ac:dyDescent="0.2">
      <c r="A460" s="2">
        <v>459</v>
      </c>
      <c r="B460" s="6">
        <v>66</v>
      </c>
      <c r="C460" s="8" t="s">
        <v>0</v>
      </c>
      <c r="D460" s="6">
        <v>27</v>
      </c>
      <c r="E460" s="6">
        <v>9</v>
      </c>
      <c r="F460" s="8" t="s">
        <v>4</v>
      </c>
      <c r="G460" s="8" t="s">
        <v>6</v>
      </c>
      <c r="H460" s="4">
        <v>2.2000000000000002</v>
      </c>
      <c r="I460" s="10">
        <v>3751.9</v>
      </c>
      <c r="J460" s="6">
        <v>2</v>
      </c>
      <c r="K460" s="6">
        <v>0</v>
      </c>
    </row>
    <row r="461" spans="1:11" x14ac:dyDescent="0.2">
      <c r="A461" s="2">
        <v>460</v>
      </c>
      <c r="B461" s="6">
        <v>34</v>
      </c>
      <c r="C461" s="8" t="s">
        <v>0</v>
      </c>
      <c r="D461" s="6">
        <v>36</v>
      </c>
      <c r="E461" s="6">
        <v>3</v>
      </c>
      <c r="F461" s="8" t="s">
        <v>4</v>
      </c>
      <c r="G461" s="8" t="s">
        <v>2</v>
      </c>
      <c r="H461" s="4">
        <v>3.4</v>
      </c>
      <c r="I461" s="10">
        <v>11797.65</v>
      </c>
      <c r="J461" s="6">
        <v>9</v>
      </c>
      <c r="K461" s="6">
        <v>1</v>
      </c>
    </row>
    <row r="462" spans="1:11" x14ac:dyDescent="0.2">
      <c r="A462" s="2">
        <v>461</v>
      </c>
      <c r="B462" s="6">
        <v>61</v>
      </c>
      <c r="C462" s="8" t="s">
        <v>0</v>
      </c>
      <c r="D462" s="6">
        <v>29</v>
      </c>
      <c r="E462" s="6">
        <v>5</v>
      </c>
      <c r="F462" s="8" t="s">
        <v>4</v>
      </c>
      <c r="G462" s="8" t="s">
        <v>6</v>
      </c>
      <c r="H462" s="4">
        <v>2.2000000000000002</v>
      </c>
      <c r="I462" s="10">
        <v>12706.88</v>
      </c>
      <c r="J462" s="6">
        <v>0</v>
      </c>
      <c r="K462" s="6">
        <v>1</v>
      </c>
    </row>
    <row r="463" spans="1:11" x14ac:dyDescent="0.2">
      <c r="A463" s="2">
        <v>462</v>
      </c>
      <c r="B463" s="6">
        <v>45</v>
      </c>
      <c r="C463" s="8" t="s">
        <v>3</v>
      </c>
      <c r="D463" s="6">
        <v>38</v>
      </c>
      <c r="E463" s="6">
        <v>6</v>
      </c>
      <c r="F463" s="8" t="s">
        <v>1</v>
      </c>
      <c r="G463" s="8" t="s">
        <v>2</v>
      </c>
      <c r="H463" s="4">
        <v>2.2000000000000002</v>
      </c>
      <c r="I463" s="10">
        <v>24461.81</v>
      </c>
      <c r="J463" s="6">
        <v>1</v>
      </c>
      <c r="K463" s="6">
        <v>0</v>
      </c>
    </row>
    <row r="464" spans="1:11" x14ac:dyDescent="0.2">
      <c r="A464" s="2">
        <v>463</v>
      </c>
      <c r="B464" s="6">
        <v>47</v>
      </c>
      <c r="C464" s="8" t="s">
        <v>0</v>
      </c>
      <c r="D464" s="6">
        <v>57</v>
      </c>
      <c r="E464" s="6">
        <v>4</v>
      </c>
      <c r="F464" s="8" t="s">
        <v>4</v>
      </c>
      <c r="G464" s="8" t="s">
        <v>5</v>
      </c>
      <c r="H464" s="4">
        <v>4</v>
      </c>
      <c r="I464" s="10">
        <v>37498.5</v>
      </c>
      <c r="J464" s="6">
        <v>6</v>
      </c>
      <c r="K464" s="6">
        <v>0</v>
      </c>
    </row>
    <row r="465" spans="1:11" x14ac:dyDescent="0.2">
      <c r="A465" s="2">
        <v>464</v>
      </c>
      <c r="B465" s="6">
        <v>46</v>
      </c>
      <c r="C465" s="8" t="s">
        <v>0</v>
      </c>
      <c r="D465" s="6">
        <v>33</v>
      </c>
      <c r="E465" s="6">
        <v>10</v>
      </c>
      <c r="F465" s="8" t="s">
        <v>4</v>
      </c>
      <c r="G465" s="8" t="s">
        <v>2</v>
      </c>
      <c r="H465" s="4">
        <v>1.2</v>
      </c>
      <c r="I465" s="10">
        <v>23953.59</v>
      </c>
      <c r="J465" s="6">
        <v>9</v>
      </c>
      <c r="K465" s="6">
        <v>0</v>
      </c>
    </row>
    <row r="466" spans="1:11" x14ac:dyDescent="0.2">
      <c r="A466" s="2">
        <v>465</v>
      </c>
      <c r="B466" s="6">
        <v>63</v>
      </c>
      <c r="C466" s="8" t="s">
        <v>0</v>
      </c>
      <c r="D466" s="6">
        <v>37</v>
      </c>
      <c r="E466" s="6">
        <v>12</v>
      </c>
      <c r="F466" s="8" t="s">
        <v>4</v>
      </c>
      <c r="G466" s="8" t="s">
        <v>2</v>
      </c>
      <c r="H466" s="4">
        <v>4.5999999999999996</v>
      </c>
      <c r="I466" s="10">
        <v>3363.3</v>
      </c>
      <c r="J466" s="6">
        <v>1</v>
      </c>
      <c r="K466" s="6">
        <v>0</v>
      </c>
    </row>
    <row r="467" spans="1:11" x14ac:dyDescent="0.2">
      <c r="A467" s="2">
        <v>466</v>
      </c>
      <c r="B467" s="6">
        <v>70</v>
      </c>
      <c r="C467" s="8" t="s">
        <v>0</v>
      </c>
      <c r="D467" s="6">
        <v>27</v>
      </c>
      <c r="E467" s="6">
        <v>18</v>
      </c>
      <c r="F467" s="8" t="s">
        <v>4</v>
      </c>
      <c r="G467" s="8" t="s">
        <v>5</v>
      </c>
      <c r="H467" s="4">
        <v>4.4000000000000004</v>
      </c>
      <c r="I467" s="10">
        <v>47910.6</v>
      </c>
      <c r="J467" s="6">
        <v>5</v>
      </c>
      <c r="K467" s="6">
        <v>1</v>
      </c>
    </row>
    <row r="468" spans="1:11" x14ac:dyDescent="0.2">
      <c r="A468" s="2">
        <v>467</v>
      </c>
      <c r="B468" s="6">
        <v>23</v>
      </c>
      <c r="C468" s="8" t="s">
        <v>0</v>
      </c>
      <c r="D468" s="6">
        <v>55</v>
      </c>
      <c r="E468" s="6">
        <v>9</v>
      </c>
      <c r="F468" s="8" t="s">
        <v>4</v>
      </c>
      <c r="G468" s="8" t="s">
        <v>6</v>
      </c>
      <c r="H468" s="4">
        <v>3.7</v>
      </c>
      <c r="I468" s="10">
        <v>47164.85</v>
      </c>
      <c r="J468" s="6">
        <v>2</v>
      </c>
      <c r="K468" s="6">
        <v>0</v>
      </c>
    </row>
    <row r="469" spans="1:11" x14ac:dyDescent="0.2">
      <c r="A469" s="2">
        <v>468</v>
      </c>
      <c r="B469" s="6">
        <v>52</v>
      </c>
      <c r="C469" s="8" t="s">
        <v>0</v>
      </c>
      <c r="D469" s="6">
        <v>33</v>
      </c>
      <c r="E469" s="6">
        <v>9</v>
      </c>
      <c r="F469" s="8" t="s">
        <v>4</v>
      </c>
      <c r="G469" s="8" t="s">
        <v>2</v>
      </c>
      <c r="H469" s="4">
        <v>3.4</v>
      </c>
      <c r="I469" s="10">
        <v>39366.879999999997</v>
      </c>
      <c r="J469" s="6">
        <v>3</v>
      </c>
      <c r="K469" s="6">
        <v>0</v>
      </c>
    </row>
    <row r="470" spans="1:11" x14ac:dyDescent="0.2">
      <c r="A470" s="2">
        <v>469</v>
      </c>
      <c r="B470" s="6">
        <v>77</v>
      </c>
      <c r="C470" s="8" t="s">
        <v>0</v>
      </c>
      <c r="D470" s="6">
        <v>4</v>
      </c>
      <c r="E470" s="6">
        <v>10</v>
      </c>
      <c r="F470" s="8" t="s">
        <v>4</v>
      </c>
      <c r="G470" s="8" t="s">
        <v>2</v>
      </c>
      <c r="H470" s="4">
        <v>4.5999999999999996</v>
      </c>
      <c r="I470" s="10">
        <v>49570.73</v>
      </c>
      <c r="J470" s="6">
        <v>7</v>
      </c>
      <c r="K470" s="6">
        <v>0</v>
      </c>
    </row>
    <row r="471" spans="1:11" x14ac:dyDescent="0.2">
      <c r="A471" s="2">
        <v>470</v>
      </c>
      <c r="B471" s="6">
        <v>58</v>
      </c>
      <c r="C471" s="8" t="s">
        <v>0</v>
      </c>
      <c r="D471" s="6">
        <v>22</v>
      </c>
      <c r="E471" s="6">
        <v>6</v>
      </c>
      <c r="F471" s="8" t="s">
        <v>1</v>
      </c>
      <c r="G471" s="8" t="s">
        <v>5</v>
      </c>
      <c r="H471" s="4">
        <v>1.7</v>
      </c>
      <c r="I471" s="10">
        <v>27451.88</v>
      </c>
      <c r="J471" s="6">
        <v>2</v>
      </c>
      <c r="K471" s="6">
        <v>1</v>
      </c>
    </row>
    <row r="472" spans="1:11" x14ac:dyDescent="0.2">
      <c r="A472" s="2">
        <v>471</v>
      </c>
      <c r="B472" s="6">
        <v>54</v>
      </c>
      <c r="C472" s="8" t="s">
        <v>0</v>
      </c>
      <c r="D472" s="6">
        <v>2</v>
      </c>
      <c r="E472" s="6">
        <v>17</v>
      </c>
      <c r="F472" s="8" t="s">
        <v>1</v>
      </c>
      <c r="G472" s="8" t="s">
        <v>6</v>
      </c>
      <c r="H472" s="4">
        <v>1.3</v>
      </c>
      <c r="I472" s="10">
        <v>48157.03</v>
      </c>
      <c r="J472" s="6">
        <v>9</v>
      </c>
      <c r="K472" s="6">
        <v>1</v>
      </c>
    </row>
    <row r="473" spans="1:11" x14ac:dyDescent="0.2">
      <c r="A473" s="2">
        <v>472</v>
      </c>
      <c r="B473" s="6">
        <v>41</v>
      </c>
      <c r="C473" s="8" t="s">
        <v>0</v>
      </c>
      <c r="D473" s="6">
        <v>10</v>
      </c>
      <c r="E473" s="6">
        <v>3</v>
      </c>
      <c r="F473" s="8" t="s">
        <v>1</v>
      </c>
      <c r="G473" s="8" t="s">
        <v>2</v>
      </c>
      <c r="H473" s="4">
        <v>2</v>
      </c>
      <c r="I473" s="10">
        <v>4242.45</v>
      </c>
      <c r="J473" s="6">
        <v>5</v>
      </c>
      <c r="K473" s="6">
        <v>0</v>
      </c>
    </row>
    <row r="474" spans="1:11" x14ac:dyDescent="0.2">
      <c r="A474" s="2">
        <v>473</v>
      </c>
      <c r="B474" s="6">
        <v>46</v>
      </c>
      <c r="C474" s="8" t="s">
        <v>0</v>
      </c>
      <c r="D474" s="6">
        <v>5</v>
      </c>
      <c r="E474" s="6">
        <v>1</v>
      </c>
      <c r="F474" s="8" t="s">
        <v>1</v>
      </c>
      <c r="G474" s="8" t="s">
        <v>5</v>
      </c>
      <c r="H474" s="4">
        <v>4.2</v>
      </c>
      <c r="I474" s="10">
        <v>18601.2</v>
      </c>
      <c r="J474" s="6">
        <v>0</v>
      </c>
      <c r="K474" s="6">
        <v>1</v>
      </c>
    </row>
    <row r="475" spans="1:11" x14ac:dyDescent="0.2">
      <c r="A475" s="2">
        <v>474</v>
      </c>
      <c r="B475" s="6">
        <v>66</v>
      </c>
      <c r="C475" s="8" t="s">
        <v>3</v>
      </c>
      <c r="D475" s="6">
        <v>59</v>
      </c>
      <c r="E475" s="6">
        <v>13</v>
      </c>
      <c r="F475" s="8" t="s">
        <v>4</v>
      </c>
      <c r="G475" s="8" t="s">
        <v>2</v>
      </c>
      <c r="H475" s="4">
        <v>1.1000000000000001</v>
      </c>
      <c r="I475" s="10">
        <v>11656.37</v>
      </c>
      <c r="J475" s="6">
        <v>6</v>
      </c>
      <c r="K475" s="6">
        <v>0</v>
      </c>
    </row>
    <row r="476" spans="1:11" x14ac:dyDescent="0.2">
      <c r="A476" s="2">
        <v>475</v>
      </c>
      <c r="B476" s="6">
        <v>63</v>
      </c>
      <c r="C476" s="8" t="s">
        <v>3</v>
      </c>
      <c r="D476" s="6">
        <v>10</v>
      </c>
      <c r="E476" s="6">
        <v>12</v>
      </c>
      <c r="F476" s="8" t="s">
        <v>1</v>
      </c>
      <c r="G476" s="8" t="s">
        <v>5</v>
      </c>
      <c r="H476" s="4">
        <v>3.3</v>
      </c>
      <c r="I476" s="10">
        <v>10193.74</v>
      </c>
      <c r="J476" s="6">
        <v>7</v>
      </c>
      <c r="K476" s="6">
        <v>0</v>
      </c>
    </row>
    <row r="477" spans="1:11" x14ac:dyDescent="0.2">
      <c r="A477" s="2">
        <v>476</v>
      </c>
      <c r="B477" s="6">
        <v>70</v>
      </c>
      <c r="C477" s="8" t="s">
        <v>0</v>
      </c>
      <c r="D477" s="6">
        <v>33</v>
      </c>
      <c r="E477" s="6">
        <v>11</v>
      </c>
      <c r="F477" s="8" t="s">
        <v>1</v>
      </c>
      <c r="G477" s="8" t="s">
        <v>6</v>
      </c>
      <c r="H477" s="4">
        <v>5</v>
      </c>
      <c r="I477" s="10">
        <v>7469.75</v>
      </c>
      <c r="J477" s="6">
        <v>7</v>
      </c>
      <c r="K477" s="6">
        <v>0</v>
      </c>
    </row>
    <row r="478" spans="1:11" x14ac:dyDescent="0.2">
      <c r="A478" s="2">
        <v>477</v>
      </c>
      <c r="B478" s="6">
        <v>48</v>
      </c>
      <c r="C478" s="8" t="s">
        <v>0</v>
      </c>
      <c r="D478" s="6">
        <v>54</v>
      </c>
      <c r="E478" s="6">
        <v>6</v>
      </c>
      <c r="F478" s="8" t="s">
        <v>4</v>
      </c>
      <c r="G478" s="8" t="s">
        <v>6</v>
      </c>
      <c r="H478" s="4">
        <v>4.4000000000000004</v>
      </c>
      <c r="I478" s="10">
        <v>31309.48</v>
      </c>
      <c r="J478" s="6">
        <v>2</v>
      </c>
      <c r="K478" s="6">
        <v>0</v>
      </c>
    </row>
    <row r="479" spans="1:11" x14ac:dyDescent="0.2">
      <c r="A479" s="2">
        <v>478</v>
      </c>
      <c r="B479" s="6">
        <v>52</v>
      </c>
      <c r="C479" s="8" t="s">
        <v>3</v>
      </c>
      <c r="D479" s="6">
        <v>38</v>
      </c>
      <c r="E479" s="6">
        <v>1</v>
      </c>
      <c r="F479" s="8" t="s">
        <v>4</v>
      </c>
      <c r="G479" s="8" t="s">
        <v>6</v>
      </c>
      <c r="H479" s="4">
        <v>3.1</v>
      </c>
      <c r="I479" s="10">
        <v>39175.43</v>
      </c>
      <c r="J479" s="6">
        <v>9</v>
      </c>
      <c r="K479" s="6">
        <v>0</v>
      </c>
    </row>
    <row r="480" spans="1:11" x14ac:dyDescent="0.2">
      <c r="A480" s="2">
        <v>479</v>
      </c>
      <c r="B480" s="6">
        <v>77</v>
      </c>
      <c r="C480" s="8" t="s">
        <v>0</v>
      </c>
      <c r="D480" s="6">
        <v>13</v>
      </c>
      <c r="E480" s="6">
        <v>12</v>
      </c>
      <c r="F480" s="8" t="s">
        <v>1</v>
      </c>
      <c r="G480" s="8" t="s">
        <v>6</v>
      </c>
      <c r="H480" s="4">
        <v>1.3</v>
      </c>
      <c r="I480" s="10">
        <v>29125.77</v>
      </c>
      <c r="J480" s="6">
        <v>0</v>
      </c>
      <c r="K480" s="6">
        <v>1</v>
      </c>
    </row>
    <row r="481" spans="1:11" x14ac:dyDescent="0.2">
      <c r="A481" s="2">
        <v>480</v>
      </c>
      <c r="B481" s="6">
        <v>50</v>
      </c>
      <c r="C481" s="8" t="s">
        <v>3</v>
      </c>
      <c r="D481" s="6">
        <v>31</v>
      </c>
      <c r="E481" s="6">
        <v>13</v>
      </c>
      <c r="F481" s="8" t="s">
        <v>1</v>
      </c>
      <c r="G481" s="8" t="s">
        <v>2</v>
      </c>
      <c r="H481" s="4">
        <v>4.3</v>
      </c>
      <c r="I481" s="10">
        <v>7774.65</v>
      </c>
      <c r="J481" s="6">
        <v>8</v>
      </c>
      <c r="K481" s="6">
        <v>0</v>
      </c>
    </row>
    <row r="482" spans="1:11" x14ac:dyDescent="0.2">
      <c r="A482" s="2">
        <v>481</v>
      </c>
      <c r="B482" s="6">
        <v>69</v>
      </c>
      <c r="C482" s="8" t="s">
        <v>3</v>
      </c>
      <c r="D482" s="6">
        <v>47</v>
      </c>
      <c r="E482" s="6">
        <v>16</v>
      </c>
      <c r="F482" s="8" t="s">
        <v>4</v>
      </c>
      <c r="G482" s="8" t="s">
        <v>2</v>
      </c>
      <c r="H482" s="4">
        <v>3.4</v>
      </c>
      <c r="I482" s="10">
        <v>40650.629999999997</v>
      </c>
      <c r="J482" s="6">
        <v>5</v>
      </c>
      <c r="K482" s="6">
        <v>0</v>
      </c>
    </row>
    <row r="483" spans="1:11" x14ac:dyDescent="0.2">
      <c r="A483" s="2">
        <v>482</v>
      </c>
      <c r="B483" s="6">
        <v>78</v>
      </c>
      <c r="C483" s="8" t="s">
        <v>3</v>
      </c>
      <c r="D483" s="6">
        <v>36</v>
      </c>
      <c r="E483" s="6">
        <v>8</v>
      </c>
      <c r="F483" s="8" t="s">
        <v>1</v>
      </c>
      <c r="G483" s="8" t="s">
        <v>6</v>
      </c>
      <c r="H483" s="4">
        <v>1.5</v>
      </c>
      <c r="I483" s="10">
        <v>31979.759999999998</v>
      </c>
      <c r="J483" s="6">
        <v>8</v>
      </c>
      <c r="K483" s="6">
        <v>0</v>
      </c>
    </row>
    <row r="484" spans="1:11" x14ac:dyDescent="0.2">
      <c r="A484" s="2">
        <v>483</v>
      </c>
      <c r="B484" s="6">
        <v>38</v>
      </c>
      <c r="C484" s="8" t="s">
        <v>3</v>
      </c>
      <c r="D484" s="6">
        <v>45</v>
      </c>
      <c r="E484" s="6">
        <v>16</v>
      </c>
      <c r="F484" s="8" t="s">
        <v>4</v>
      </c>
      <c r="G484" s="8" t="s">
        <v>6</v>
      </c>
      <c r="H484" s="4">
        <v>1.4</v>
      </c>
      <c r="I484" s="10">
        <v>19714.2</v>
      </c>
      <c r="J484" s="6">
        <v>6</v>
      </c>
      <c r="K484" s="6">
        <v>0</v>
      </c>
    </row>
    <row r="485" spans="1:11" x14ac:dyDescent="0.2">
      <c r="A485" s="2">
        <v>484</v>
      </c>
      <c r="B485" s="6">
        <v>49</v>
      </c>
      <c r="C485" s="8" t="s">
        <v>3</v>
      </c>
      <c r="D485" s="6">
        <v>24</v>
      </c>
      <c r="E485" s="6">
        <v>7</v>
      </c>
      <c r="F485" s="8" t="s">
        <v>4</v>
      </c>
      <c r="G485" s="8" t="s">
        <v>6</v>
      </c>
      <c r="H485" s="4">
        <v>4.5999999999999996</v>
      </c>
      <c r="I485" s="10">
        <v>33869.449999999997</v>
      </c>
      <c r="J485" s="6">
        <v>0</v>
      </c>
      <c r="K485" s="6">
        <v>1</v>
      </c>
    </row>
    <row r="486" spans="1:11" x14ac:dyDescent="0.2">
      <c r="A486" s="2">
        <v>485</v>
      </c>
      <c r="B486" s="6">
        <v>40</v>
      </c>
      <c r="C486" s="8" t="s">
        <v>0</v>
      </c>
      <c r="D486" s="6">
        <v>52</v>
      </c>
      <c r="E486" s="6">
        <v>1</v>
      </c>
      <c r="F486" s="8" t="s">
        <v>4</v>
      </c>
      <c r="G486" s="8" t="s">
        <v>2</v>
      </c>
      <c r="H486" s="4">
        <v>3.7</v>
      </c>
      <c r="I486" s="10">
        <v>13365.3</v>
      </c>
      <c r="J486" s="6">
        <v>0</v>
      </c>
      <c r="K486" s="6">
        <v>0</v>
      </c>
    </row>
    <row r="487" spans="1:11" x14ac:dyDescent="0.2">
      <c r="A487" s="2">
        <v>486</v>
      </c>
      <c r="B487" s="6">
        <v>50</v>
      </c>
      <c r="C487" s="8" t="s">
        <v>3</v>
      </c>
      <c r="D487" s="6">
        <v>56</v>
      </c>
      <c r="E487" s="6">
        <v>12</v>
      </c>
      <c r="F487" s="8" t="s">
        <v>4</v>
      </c>
      <c r="G487" s="8" t="s">
        <v>6</v>
      </c>
      <c r="H487" s="4">
        <v>4.3</v>
      </c>
      <c r="I487" s="10">
        <v>17587.009999999998</v>
      </c>
      <c r="J487" s="6">
        <v>5</v>
      </c>
      <c r="K487" s="6">
        <v>0</v>
      </c>
    </row>
    <row r="488" spans="1:11" x14ac:dyDescent="0.2">
      <c r="A488" s="2">
        <v>487</v>
      </c>
      <c r="B488" s="6">
        <v>20</v>
      </c>
      <c r="C488" s="8" t="s">
        <v>0</v>
      </c>
      <c r="D488" s="6">
        <v>15</v>
      </c>
      <c r="E488" s="6">
        <v>2</v>
      </c>
      <c r="F488" s="8" t="s">
        <v>1</v>
      </c>
      <c r="G488" s="8" t="s">
        <v>6</v>
      </c>
      <c r="H488" s="4">
        <v>4.5</v>
      </c>
      <c r="I488" s="10">
        <v>45915.55</v>
      </c>
      <c r="J488" s="6">
        <v>4</v>
      </c>
      <c r="K488" s="6">
        <v>1</v>
      </c>
    </row>
    <row r="489" spans="1:11" x14ac:dyDescent="0.2">
      <c r="A489" s="2">
        <v>488</v>
      </c>
      <c r="B489" s="6">
        <v>35</v>
      </c>
      <c r="C489" s="8" t="s">
        <v>0</v>
      </c>
      <c r="D489" s="6">
        <v>29</v>
      </c>
      <c r="E489" s="6">
        <v>15</v>
      </c>
      <c r="F489" s="8" t="s">
        <v>4</v>
      </c>
      <c r="G489" s="8" t="s">
        <v>6</v>
      </c>
      <c r="H489" s="4">
        <v>3.3</v>
      </c>
      <c r="I489" s="10">
        <v>14879.97</v>
      </c>
      <c r="J489" s="6">
        <v>8</v>
      </c>
      <c r="K489" s="6">
        <v>0</v>
      </c>
    </row>
    <row r="490" spans="1:11" x14ac:dyDescent="0.2">
      <c r="A490" s="2">
        <v>489</v>
      </c>
      <c r="B490" s="6">
        <v>42</v>
      </c>
      <c r="C490" s="8" t="s">
        <v>3</v>
      </c>
      <c r="D490" s="6">
        <v>8</v>
      </c>
      <c r="E490" s="6">
        <v>5</v>
      </c>
      <c r="F490" s="8" t="s">
        <v>4</v>
      </c>
      <c r="G490" s="8" t="s">
        <v>5</v>
      </c>
      <c r="H490" s="4">
        <v>3.1</v>
      </c>
      <c r="I490" s="10">
        <v>23764.42</v>
      </c>
      <c r="J490" s="6">
        <v>1</v>
      </c>
      <c r="K490" s="6">
        <v>0</v>
      </c>
    </row>
    <row r="491" spans="1:11" x14ac:dyDescent="0.2">
      <c r="A491" s="2">
        <v>490</v>
      </c>
      <c r="B491" s="6">
        <v>59</v>
      </c>
      <c r="C491" s="8" t="s">
        <v>3</v>
      </c>
      <c r="D491" s="6">
        <v>5</v>
      </c>
      <c r="E491" s="6">
        <v>18</v>
      </c>
      <c r="F491" s="8" t="s">
        <v>1</v>
      </c>
      <c r="G491" s="8" t="s">
        <v>6</v>
      </c>
      <c r="H491" s="4">
        <v>2.7</v>
      </c>
      <c r="I491" s="10">
        <v>44561.99</v>
      </c>
      <c r="J491" s="6">
        <v>7</v>
      </c>
      <c r="K491" s="6">
        <v>0</v>
      </c>
    </row>
    <row r="492" spans="1:11" x14ac:dyDescent="0.2">
      <c r="A492" s="2">
        <v>491</v>
      </c>
      <c r="B492" s="6">
        <v>48</v>
      </c>
      <c r="C492" s="8" t="s">
        <v>0</v>
      </c>
      <c r="D492" s="6">
        <v>29</v>
      </c>
      <c r="E492" s="6">
        <v>6</v>
      </c>
      <c r="F492" s="8" t="s">
        <v>4</v>
      </c>
      <c r="G492" s="8" t="s">
        <v>5</v>
      </c>
      <c r="H492" s="4">
        <v>2.2999999999999998</v>
      </c>
      <c r="I492" s="10">
        <v>35532.21</v>
      </c>
      <c r="J492" s="6">
        <v>4</v>
      </c>
      <c r="K492" s="6">
        <v>0</v>
      </c>
    </row>
    <row r="493" spans="1:11" x14ac:dyDescent="0.2">
      <c r="A493" s="2">
        <v>492</v>
      </c>
      <c r="B493" s="6">
        <v>71</v>
      </c>
      <c r="C493" s="8" t="s">
        <v>3</v>
      </c>
      <c r="D493" s="6">
        <v>47</v>
      </c>
      <c r="E493" s="6">
        <v>9</v>
      </c>
      <c r="F493" s="8" t="s">
        <v>1</v>
      </c>
      <c r="G493" s="8" t="s">
        <v>5</v>
      </c>
      <c r="H493" s="4">
        <v>2.7</v>
      </c>
      <c r="I493" s="10">
        <v>3579.06</v>
      </c>
      <c r="J493" s="6">
        <v>1</v>
      </c>
      <c r="K493" s="6">
        <v>1</v>
      </c>
    </row>
    <row r="494" spans="1:11" x14ac:dyDescent="0.2">
      <c r="A494" s="2">
        <v>493</v>
      </c>
      <c r="B494" s="6">
        <v>75</v>
      </c>
      <c r="C494" s="8" t="s">
        <v>3</v>
      </c>
      <c r="D494" s="6">
        <v>4</v>
      </c>
      <c r="E494" s="6">
        <v>8</v>
      </c>
      <c r="F494" s="8" t="s">
        <v>1</v>
      </c>
      <c r="G494" s="8" t="s">
        <v>6</v>
      </c>
      <c r="H494" s="4">
        <v>4.0999999999999996</v>
      </c>
      <c r="I494" s="10">
        <v>7791.5</v>
      </c>
      <c r="J494" s="6">
        <v>9</v>
      </c>
      <c r="K494" s="6">
        <v>1</v>
      </c>
    </row>
    <row r="495" spans="1:11" x14ac:dyDescent="0.2">
      <c r="A495" s="2">
        <v>494</v>
      </c>
      <c r="B495" s="6">
        <v>20</v>
      </c>
      <c r="C495" s="8" t="s">
        <v>0</v>
      </c>
      <c r="D495" s="6">
        <v>12</v>
      </c>
      <c r="E495" s="6">
        <v>1</v>
      </c>
      <c r="F495" s="8" t="s">
        <v>1</v>
      </c>
      <c r="G495" s="8" t="s">
        <v>5</v>
      </c>
      <c r="H495" s="4">
        <v>3.4</v>
      </c>
      <c r="I495" s="10">
        <v>888.16</v>
      </c>
      <c r="J495" s="6">
        <v>5</v>
      </c>
      <c r="K495" s="6">
        <v>0</v>
      </c>
    </row>
    <row r="496" spans="1:11" x14ac:dyDescent="0.2">
      <c r="A496" s="2">
        <v>495</v>
      </c>
      <c r="B496" s="6">
        <v>57</v>
      </c>
      <c r="C496" s="8" t="s">
        <v>0</v>
      </c>
      <c r="D496" s="6">
        <v>45</v>
      </c>
      <c r="E496" s="6">
        <v>14</v>
      </c>
      <c r="F496" s="8" t="s">
        <v>4</v>
      </c>
      <c r="G496" s="8" t="s">
        <v>6</v>
      </c>
      <c r="H496" s="4">
        <v>4.5999999999999996</v>
      </c>
      <c r="I496" s="10">
        <v>31730.63</v>
      </c>
      <c r="J496" s="6">
        <v>9</v>
      </c>
      <c r="K496" s="6">
        <v>1</v>
      </c>
    </row>
    <row r="497" spans="1:11" x14ac:dyDescent="0.2">
      <c r="A497" s="2">
        <v>496</v>
      </c>
      <c r="B497" s="6">
        <v>63</v>
      </c>
      <c r="C497" s="8" t="s">
        <v>3</v>
      </c>
      <c r="D497" s="6">
        <v>2</v>
      </c>
      <c r="E497" s="6">
        <v>4</v>
      </c>
      <c r="F497" s="8" t="s">
        <v>1</v>
      </c>
      <c r="G497" s="8" t="s">
        <v>2</v>
      </c>
      <c r="H497" s="4">
        <v>2.8</v>
      </c>
      <c r="I497" s="10">
        <v>22659.83</v>
      </c>
      <c r="J497" s="6">
        <v>7</v>
      </c>
      <c r="K497" s="6">
        <v>0</v>
      </c>
    </row>
    <row r="498" spans="1:11" x14ac:dyDescent="0.2">
      <c r="A498" s="2">
        <v>497</v>
      </c>
      <c r="B498" s="6">
        <v>41</v>
      </c>
      <c r="C498" s="8" t="s">
        <v>0</v>
      </c>
      <c r="D498" s="6">
        <v>27</v>
      </c>
      <c r="E498" s="6">
        <v>3</v>
      </c>
      <c r="F498" s="8" t="s">
        <v>1</v>
      </c>
      <c r="G498" s="8" t="s">
        <v>2</v>
      </c>
      <c r="H498" s="4">
        <v>3.4</v>
      </c>
      <c r="I498" s="10">
        <v>7146.61</v>
      </c>
      <c r="J498" s="6">
        <v>3</v>
      </c>
      <c r="K498" s="6">
        <v>0</v>
      </c>
    </row>
    <row r="499" spans="1:11" x14ac:dyDescent="0.2">
      <c r="A499" s="2">
        <v>498</v>
      </c>
      <c r="B499" s="6">
        <v>67</v>
      </c>
      <c r="C499" s="8" t="s">
        <v>3</v>
      </c>
      <c r="D499" s="6">
        <v>31</v>
      </c>
      <c r="E499" s="6">
        <v>19</v>
      </c>
      <c r="F499" s="8" t="s">
        <v>4</v>
      </c>
      <c r="G499" s="8" t="s">
        <v>2</v>
      </c>
      <c r="H499" s="4">
        <v>3.5</v>
      </c>
      <c r="I499" s="10">
        <v>47917.74</v>
      </c>
      <c r="J499" s="6">
        <v>1</v>
      </c>
      <c r="K499" s="6">
        <v>0</v>
      </c>
    </row>
    <row r="500" spans="1:11" x14ac:dyDescent="0.2">
      <c r="A500" s="2">
        <v>499</v>
      </c>
      <c r="B500" s="6">
        <v>49</v>
      </c>
      <c r="C500" s="8" t="s">
        <v>3</v>
      </c>
      <c r="D500" s="6">
        <v>51</v>
      </c>
      <c r="E500" s="6">
        <v>3</v>
      </c>
      <c r="F500" s="8" t="s">
        <v>1</v>
      </c>
      <c r="G500" s="8" t="s">
        <v>2</v>
      </c>
      <c r="H500" s="4">
        <v>3.4</v>
      </c>
      <c r="I500" s="10">
        <v>26718.16</v>
      </c>
      <c r="J500" s="6">
        <v>4</v>
      </c>
      <c r="K500" s="6">
        <v>0</v>
      </c>
    </row>
    <row r="501" spans="1:11" x14ac:dyDescent="0.2">
      <c r="A501" s="2">
        <v>500</v>
      </c>
      <c r="B501" s="6">
        <v>64</v>
      </c>
      <c r="C501" s="8" t="s">
        <v>3</v>
      </c>
      <c r="D501" s="6">
        <v>51</v>
      </c>
      <c r="E501" s="6">
        <v>17</v>
      </c>
      <c r="F501" s="8" t="s">
        <v>1</v>
      </c>
      <c r="G501" s="8" t="s">
        <v>5</v>
      </c>
      <c r="H501" s="4">
        <v>3.8</v>
      </c>
      <c r="I501" s="10">
        <v>12473.72</v>
      </c>
      <c r="J501" s="6">
        <v>1</v>
      </c>
      <c r="K501" s="6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A279-A449-4262-A08C-4B011F542539}">
  <dimension ref="A3:B6"/>
  <sheetViews>
    <sheetView workbookViewId="0">
      <selection activeCell="B5" sqref="B5"/>
    </sheetView>
  </sheetViews>
  <sheetFormatPr defaultRowHeight="12.75" x14ac:dyDescent="0.2"/>
  <cols>
    <col min="1" max="1" width="18.7109375" bestFit="1" customWidth="1"/>
    <col min="2" max="2" width="27" bestFit="1" customWidth="1"/>
  </cols>
  <sheetData>
    <row r="3" spans="1:2" x14ac:dyDescent="0.2">
      <c r="A3" s="15" t="s">
        <v>28</v>
      </c>
      <c r="B3" s="15" t="s">
        <v>42</v>
      </c>
    </row>
    <row r="4" spans="1:2" x14ac:dyDescent="0.2">
      <c r="A4" s="39">
        <v>0</v>
      </c>
      <c r="B4" s="45">
        <v>9202798.0500000045</v>
      </c>
    </row>
    <row r="5" spans="1:2" x14ac:dyDescent="0.2">
      <c r="A5" s="39">
        <v>1</v>
      </c>
      <c r="B5" s="44">
        <v>3017209.54</v>
      </c>
    </row>
    <row r="6" spans="1:2" x14ac:dyDescent="0.2">
      <c r="A6" s="39" t="s">
        <v>29</v>
      </c>
      <c r="B6" s="45">
        <v>12220007.590000004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18F9-D4E0-4C57-B692-8B01D9C989A1}">
  <dimension ref="A1:C4"/>
  <sheetViews>
    <sheetView zoomScaleNormal="100" workbookViewId="0">
      <selection sqref="A1:C4"/>
    </sheetView>
  </sheetViews>
  <sheetFormatPr defaultRowHeight="12.75" x14ac:dyDescent="0.2"/>
  <cols>
    <col min="1" max="1" width="18.7109375" bestFit="1" customWidth="1"/>
    <col min="2" max="2" width="29.5703125" bestFit="1" customWidth="1"/>
    <col min="3" max="3" width="11.28515625" style="14" customWidth="1"/>
  </cols>
  <sheetData>
    <row r="1" spans="1:3" x14ac:dyDescent="0.2">
      <c r="A1" s="15" t="s">
        <v>28</v>
      </c>
      <c r="B1" s="15" t="s">
        <v>40</v>
      </c>
      <c r="C1" s="42" t="s">
        <v>41</v>
      </c>
    </row>
    <row r="2" spans="1:3" x14ac:dyDescent="0.2">
      <c r="A2" s="39">
        <v>0</v>
      </c>
      <c r="B2" s="43">
        <v>3511</v>
      </c>
      <c r="C2" s="41">
        <f>GETPIVOTDATA("Visitas_ano_passado",$A$1,"Evasão",0)/GETPIVOTDATA("Visitas_ano_passado",$A$1)</f>
        <v>0.74606884827879305</v>
      </c>
    </row>
    <row r="3" spans="1:3" x14ac:dyDescent="0.2">
      <c r="A3" s="39">
        <v>1</v>
      </c>
      <c r="B3" s="43">
        <v>1195</v>
      </c>
      <c r="C3" s="41">
        <f>GETPIVOTDATA("Visitas_ano_passado",$A$1,"Evasão",1)/GETPIVOTDATA("Visitas_ano_passado",$A$1)</f>
        <v>0.25393115172120695</v>
      </c>
    </row>
    <row r="4" spans="1:3" x14ac:dyDescent="0.2">
      <c r="A4" s="39" t="s">
        <v>29</v>
      </c>
      <c r="B4" s="43">
        <v>4706</v>
      </c>
      <c r="C4" s="41">
        <f>GETPIVOTDATA("Visitas_ano_passado",$A$1)/GETPIVOTDATA("Visitas_ano_passado",$A$1)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EFAF-A0DA-427C-8248-2104741D407E}">
  <dimension ref="A3:C6"/>
  <sheetViews>
    <sheetView topLeftCell="A3" zoomScale="115" zoomScaleNormal="115" workbookViewId="0">
      <selection activeCell="H16" sqref="H16"/>
    </sheetView>
  </sheetViews>
  <sheetFormatPr defaultRowHeight="12.75" x14ac:dyDescent="0.2"/>
  <cols>
    <col min="1" max="1" width="18.7109375" bestFit="1" customWidth="1"/>
    <col min="2" max="2" width="32.5703125" bestFit="1" customWidth="1"/>
  </cols>
  <sheetData>
    <row r="3" spans="1:3" x14ac:dyDescent="0.2">
      <c r="A3" s="15" t="s">
        <v>28</v>
      </c>
      <c r="B3" s="15" t="s">
        <v>38</v>
      </c>
      <c r="C3" s="42" t="s">
        <v>39</v>
      </c>
    </row>
    <row r="4" spans="1:3" x14ac:dyDescent="0.2">
      <c r="A4" s="39">
        <v>0</v>
      </c>
      <c r="B4" s="40">
        <v>1634</v>
      </c>
      <c r="C4" s="41">
        <f>GETPIVOTDATA("Compromissos_Perdidos",$A$3,"Evasão",0)/GETPIVOTDATA("Compromissos_Perdidos",$A$3)</f>
        <v>0.73903211216644049</v>
      </c>
    </row>
    <row r="5" spans="1:3" x14ac:dyDescent="0.2">
      <c r="A5" s="39">
        <v>1</v>
      </c>
      <c r="B5" s="40">
        <v>577</v>
      </c>
      <c r="C5" s="41">
        <f>GETPIVOTDATA("Compromissos_Perdidos",$A$3,"Evasão",1)/GETPIVOTDATA("Compromissos_Perdidos",$A$3)</f>
        <v>0.26096788783355945</v>
      </c>
    </row>
    <row r="6" spans="1:3" x14ac:dyDescent="0.2">
      <c r="A6" s="39" t="s">
        <v>29</v>
      </c>
      <c r="B6" s="40">
        <v>2211</v>
      </c>
      <c r="C6" s="41">
        <f>GETPIVOTDATA("Compromissos_Perdidos",$A$3)/GETPIVOTDATA("Compromissos_Perdidos",$A$3)</f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9826-B703-49A1-876C-08FB422E52E2}">
  <dimension ref="A1:K501"/>
  <sheetViews>
    <sheetView topLeftCell="A7" workbookViewId="0">
      <selection activeCell="K21" sqref="K21"/>
    </sheetView>
  </sheetViews>
  <sheetFormatPr defaultRowHeight="12.75" x14ac:dyDescent="0.2"/>
  <cols>
    <col min="1" max="1" width="10.42578125" style="6" customWidth="1"/>
    <col min="2" max="2" width="19" style="8" customWidth="1"/>
    <col min="3" max="3" width="2.5703125" customWidth="1"/>
    <col min="4" max="4" width="18.7109375" bestFit="1" customWidth="1"/>
    <col min="5" max="5" width="20.140625" bestFit="1" customWidth="1"/>
    <col min="6" max="6" width="8.28515625" bestFit="1" customWidth="1"/>
    <col min="7" max="8" width="11.140625" bestFit="1" customWidth="1"/>
    <col min="9" max="9" width="13.140625" style="31" customWidth="1"/>
    <col min="10" max="10" width="10.42578125" style="31" customWidth="1"/>
    <col min="11" max="11" width="9.5703125" style="31" customWidth="1"/>
  </cols>
  <sheetData>
    <row r="1" spans="1:11" x14ac:dyDescent="0.2">
      <c r="A1" s="5" t="s">
        <v>17</v>
      </c>
      <c r="B1" s="7" t="s">
        <v>13</v>
      </c>
      <c r="D1" s="15" t="s">
        <v>37</v>
      </c>
      <c r="E1" s="15" t="s">
        <v>30</v>
      </c>
      <c r="F1" s="15"/>
      <c r="G1" s="15"/>
      <c r="I1" s="37" t="s">
        <v>2</v>
      </c>
      <c r="J1" s="37" t="s">
        <v>5</v>
      </c>
      <c r="K1" s="37" t="s">
        <v>6</v>
      </c>
    </row>
    <row r="2" spans="1:11" x14ac:dyDescent="0.2">
      <c r="A2" s="6">
        <v>1</v>
      </c>
      <c r="B2" s="8" t="s">
        <v>2</v>
      </c>
      <c r="D2" s="15" t="s">
        <v>28</v>
      </c>
      <c r="E2" s="15">
        <v>0</v>
      </c>
      <c r="F2" s="15">
        <v>1</v>
      </c>
      <c r="G2" s="15" t="s">
        <v>29</v>
      </c>
      <c r="I2" s="36">
        <f>GETPIVOTDATA("Evasão",$D$1,"Tipo_Seguro","Government")</f>
        <v>0.25555555555555554</v>
      </c>
      <c r="J2" s="36">
        <f>GETPIVOTDATA("Evasão",$D$1,"Tipo_Seguro","None")</f>
        <v>0.27333333333333332</v>
      </c>
      <c r="K2" s="36">
        <f>GETPIVOTDATA("Evasão",$D$1,"Tipo_Seguro","Private")</f>
        <v>0.21764705882352942</v>
      </c>
    </row>
    <row r="3" spans="1:11" x14ac:dyDescent="0.2">
      <c r="A3" s="6">
        <v>0</v>
      </c>
      <c r="B3" s="8" t="s">
        <v>2</v>
      </c>
      <c r="D3" s="22" t="s">
        <v>2</v>
      </c>
      <c r="E3" s="38">
        <v>0</v>
      </c>
      <c r="F3" s="38">
        <v>1</v>
      </c>
      <c r="G3" s="38">
        <v>0.25555555555555554</v>
      </c>
    </row>
    <row r="4" spans="1:11" x14ac:dyDescent="0.2">
      <c r="A4" s="6">
        <v>0</v>
      </c>
      <c r="B4" s="8" t="s">
        <v>5</v>
      </c>
      <c r="D4" s="22" t="s">
        <v>5</v>
      </c>
      <c r="E4" s="38">
        <v>0</v>
      </c>
      <c r="F4" s="38">
        <v>1</v>
      </c>
      <c r="G4" s="38">
        <v>0.27333333333333332</v>
      </c>
    </row>
    <row r="5" spans="1:11" x14ac:dyDescent="0.2">
      <c r="A5" s="6">
        <v>0</v>
      </c>
      <c r="B5" s="8" t="s">
        <v>2</v>
      </c>
      <c r="D5" s="22" t="s">
        <v>6</v>
      </c>
      <c r="E5" s="38">
        <v>0</v>
      </c>
      <c r="F5" s="38">
        <v>1</v>
      </c>
      <c r="G5" s="38">
        <v>0.21764705882352942</v>
      </c>
    </row>
    <row r="6" spans="1:11" x14ac:dyDescent="0.2">
      <c r="A6" s="6">
        <v>0</v>
      </c>
      <c r="B6" s="8" t="s">
        <v>6</v>
      </c>
      <c r="D6" s="22" t="s">
        <v>29</v>
      </c>
      <c r="E6" s="38">
        <v>0</v>
      </c>
      <c r="F6" s="38">
        <v>1</v>
      </c>
      <c r="G6" s="38">
        <v>0.248</v>
      </c>
    </row>
    <row r="7" spans="1:11" x14ac:dyDescent="0.2">
      <c r="A7" s="6">
        <v>0</v>
      </c>
      <c r="B7" s="8" t="s">
        <v>6</v>
      </c>
    </row>
    <row r="8" spans="1:11" x14ac:dyDescent="0.2">
      <c r="A8" s="6">
        <v>0</v>
      </c>
      <c r="B8" s="8" t="s">
        <v>5</v>
      </c>
    </row>
    <row r="9" spans="1:11" x14ac:dyDescent="0.2">
      <c r="A9" s="6">
        <v>0</v>
      </c>
      <c r="B9" s="8" t="s">
        <v>6</v>
      </c>
    </row>
    <row r="10" spans="1:11" x14ac:dyDescent="0.2">
      <c r="A10" s="6">
        <v>1</v>
      </c>
      <c r="B10" s="8" t="s">
        <v>2</v>
      </c>
    </row>
    <row r="11" spans="1:11" x14ac:dyDescent="0.2">
      <c r="A11" s="6">
        <v>0</v>
      </c>
      <c r="B11" s="8" t="s">
        <v>6</v>
      </c>
    </row>
    <row r="12" spans="1:11" x14ac:dyDescent="0.2">
      <c r="A12" s="6">
        <v>1</v>
      </c>
      <c r="B12" s="8" t="s">
        <v>5</v>
      </c>
    </row>
    <row r="13" spans="1:11" x14ac:dyDescent="0.2">
      <c r="A13" s="6">
        <v>0</v>
      </c>
      <c r="B13" s="8" t="s">
        <v>2</v>
      </c>
    </row>
    <row r="14" spans="1:11" x14ac:dyDescent="0.2">
      <c r="A14" s="6">
        <v>0</v>
      </c>
      <c r="B14" s="8" t="s">
        <v>5</v>
      </c>
    </row>
    <row r="15" spans="1:11" x14ac:dyDescent="0.2">
      <c r="A15" s="6">
        <v>0</v>
      </c>
      <c r="B15" s="8" t="s">
        <v>2</v>
      </c>
    </row>
    <row r="16" spans="1:11" x14ac:dyDescent="0.2">
      <c r="A16" s="6">
        <v>0</v>
      </c>
      <c r="B16" s="8" t="s">
        <v>6</v>
      </c>
    </row>
    <row r="17" spans="1:2" x14ac:dyDescent="0.2">
      <c r="A17" s="6">
        <v>0</v>
      </c>
      <c r="B17" s="8" t="s">
        <v>5</v>
      </c>
    </row>
    <row r="18" spans="1:2" x14ac:dyDescent="0.2">
      <c r="A18" s="6">
        <v>0</v>
      </c>
      <c r="B18" s="8" t="s">
        <v>5</v>
      </c>
    </row>
    <row r="19" spans="1:2" x14ac:dyDescent="0.2">
      <c r="A19" s="6">
        <v>0</v>
      </c>
      <c r="B19" s="8" t="s">
        <v>2</v>
      </c>
    </row>
    <row r="20" spans="1:2" x14ac:dyDescent="0.2">
      <c r="A20" s="6">
        <v>0</v>
      </c>
      <c r="B20" s="8" t="s">
        <v>5</v>
      </c>
    </row>
    <row r="21" spans="1:2" x14ac:dyDescent="0.2">
      <c r="A21" s="6">
        <v>1</v>
      </c>
      <c r="B21" s="8" t="s">
        <v>2</v>
      </c>
    </row>
    <row r="22" spans="1:2" x14ac:dyDescent="0.2">
      <c r="A22" s="6">
        <v>1</v>
      </c>
      <c r="B22" s="8" t="s">
        <v>2</v>
      </c>
    </row>
    <row r="23" spans="1:2" x14ac:dyDescent="0.2">
      <c r="A23" s="6">
        <v>0</v>
      </c>
      <c r="B23" s="8" t="s">
        <v>2</v>
      </c>
    </row>
    <row r="24" spans="1:2" x14ac:dyDescent="0.2">
      <c r="A24" s="6">
        <v>0</v>
      </c>
      <c r="B24" s="8" t="s">
        <v>2</v>
      </c>
    </row>
    <row r="25" spans="1:2" x14ac:dyDescent="0.2">
      <c r="A25" s="6">
        <v>0</v>
      </c>
      <c r="B25" s="8" t="s">
        <v>6</v>
      </c>
    </row>
    <row r="26" spans="1:2" x14ac:dyDescent="0.2">
      <c r="A26" s="6">
        <v>0</v>
      </c>
      <c r="B26" s="8" t="s">
        <v>2</v>
      </c>
    </row>
    <row r="27" spans="1:2" x14ac:dyDescent="0.2">
      <c r="A27" s="6">
        <v>0</v>
      </c>
      <c r="B27" s="8" t="s">
        <v>5</v>
      </c>
    </row>
    <row r="28" spans="1:2" x14ac:dyDescent="0.2">
      <c r="A28" s="6">
        <v>0</v>
      </c>
      <c r="B28" s="8" t="s">
        <v>6</v>
      </c>
    </row>
    <row r="29" spans="1:2" x14ac:dyDescent="0.2">
      <c r="A29" s="6">
        <v>0</v>
      </c>
      <c r="B29" s="8" t="s">
        <v>5</v>
      </c>
    </row>
    <row r="30" spans="1:2" x14ac:dyDescent="0.2">
      <c r="A30" s="6">
        <v>0</v>
      </c>
      <c r="B30" s="8" t="s">
        <v>6</v>
      </c>
    </row>
    <row r="31" spans="1:2" x14ac:dyDescent="0.2">
      <c r="A31" s="6">
        <v>0</v>
      </c>
      <c r="B31" s="8" t="s">
        <v>2</v>
      </c>
    </row>
    <row r="32" spans="1:2" x14ac:dyDescent="0.2">
      <c r="A32" s="6">
        <v>1</v>
      </c>
      <c r="B32" s="8" t="s">
        <v>6</v>
      </c>
    </row>
    <row r="33" spans="1:2" x14ac:dyDescent="0.2">
      <c r="A33" s="6">
        <v>1</v>
      </c>
      <c r="B33" s="8" t="s">
        <v>6</v>
      </c>
    </row>
    <row r="34" spans="1:2" x14ac:dyDescent="0.2">
      <c r="A34" s="6">
        <v>0</v>
      </c>
      <c r="B34" s="8" t="s">
        <v>5</v>
      </c>
    </row>
    <row r="35" spans="1:2" x14ac:dyDescent="0.2">
      <c r="A35" s="6">
        <v>1</v>
      </c>
      <c r="B35" s="8" t="s">
        <v>5</v>
      </c>
    </row>
    <row r="36" spans="1:2" x14ac:dyDescent="0.2">
      <c r="A36" s="6">
        <v>1</v>
      </c>
      <c r="B36" s="8" t="s">
        <v>2</v>
      </c>
    </row>
    <row r="37" spans="1:2" x14ac:dyDescent="0.2">
      <c r="A37" s="6">
        <v>0</v>
      </c>
      <c r="B37" s="8" t="s">
        <v>6</v>
      </c>
    </row>
    <row r="38" spans="1:2" x14ac:dyDescent="0.2">
      <c r="A38" s="6">
        <v>0</v>
      </c>
      <c r="B38" s="8" t="s">
        <v>6</v>
      </c>
    </row>
    <row r="39" spans="1:2" x14ac:dyDescent="0.2">
      <c r="A39" s="6">
        <v>0</v>
      </c>
      <c r="B39" s="8" t="s">
        <v>6</v>
      </c>
    </row>
    <row r="40" spans="1:2" x14ac:dyDescent="0.2">
      <c r="A40" s="6">
        <v>1</v>
      </c>
      <c r="B40" s="8" t="s">
        <v>2</v>
      </c>
    </row>
    <row r="41" spans="1:2" x14ac:dyDescent="0.2">
      <c r="A41" s="6">
        <v>1</v>
      </c>
      <c r="B41" s="8" t="s">
        <v>2</v>
      </c>
    </row>
    <row r="42" spans="1:2" x14ac:dyDescent="0.2">
      <c r="A42" s="6">
        <v>0</v>
      </c>
      <c r="B42" s="8" t="s">
        <v>2</v>
      </c>
    </row>
    <row r="43" spans="1:2" x14ac:dyDescent="0.2">
      <c r="A43" s="6">
        <v>0</v>
      </c>
      <c r="B43" s="8" t="s">
        <v>2</v>
      </c>
    </row>
    <row r="44" spans="1:2" x14ac:dyDescent="0.2">
      <c r="A44" s="6">
        <v>0</v>
      </c>
      <c r="B44" s="8" t="s">
        <v>2</v>
      </c>
    </row>
    <row r="45" spans="1:2" x14ac:dyDescent="0.2">
      <c r="A45" s="6">
        <v>0</v>
      </c>
      <c r="B45" s="8" t="s">
        <v>5</v>
      </c>
    </row>
    <row r="46" spans="1:2" x14ac:dyDescent="0.2">
      <c r="A46" s="6">
        <v>0</v>
      </c>
      <c r="B46" s="8" t="s">
        <v>6</v>
      </c>
    </row>
    <row r="47" spans="1:2" x14ac:dyDescent="0.2">
      <c r="A47" s="6">
        <v>1</v>
      </c>
      <c r="B47" s="8" t="s">
        <v>6</v>
      </c>
    </row>
    <row r="48" spans="1:2" x14ac:dyDescent="0.2">
      <c r="A48" s="6">
        <v>0</v>
      </c>
      <c r="B48" s="8" t="s">
        <v>6</v>
      </c>
    </row>
    <row r="49" spans="1:2" x14ac:dyDescent="0.2">
      <c r="A49" s="6">
        <v>1</v>
      </c>
      <c r="B49" s="8" t="s">
        <v>6</v>
      </c>
    </row>
    <row r="50" spans="1:2" x14ac:dyDescent="0.2">
      <c r="A50" s="6">
        <v>1</v>
      </c>
      <c r="B50" s="8" t="s">
        <v>6</v>
      </c>
    </row>
    <row r="51" spans="1:2" x14ac:dyDescent="0.2">
      <c r="A51" s="6">
        <v>0</v>
      </c>
      <c r="B51" s="8" t="s">
        <v>6</v>
      </c>
    </row>
    <row r="52" spans="1:2" x14ac:dyDescent="0.2">
      <c r="A52" s="6">
        <v>0</v>
      </c>
      <c r="B52" s="8" t="s">
        <v>6</v>
      </c>
    </row>
    <row r="53" spans="1:2" x14ac:dyDescent="0.2">
      <c r="A53" s="6">
        <v>0</v>
      </c>
      <c r="B53" s="8" t="s">
        <v>6</v>
      </c>
    </row>
    <row r="54" spans="1:2" x14ac:dyDescent="0.2">
      <c r="A54" s="6">
        <v>0</v>
      </c>
      <c r="B54" s="8" t="s">
        <v>5</v>
      </c>
    </row>
    <row r="55" spans="1:2" x14ac:dyDescent="0.2">
      <c r="A55" s="6">
        <v>0</v>
      </c>
      <c r="B55" s="8" t="s">
        <v>6</v>
      </c>
    </row>
    <row r="56" spans="1:2" x14ac:dyDescent="0.2">
      <c r="A56" s="6">
        <v>0</v>
      </c>
      <c r="B56" s="8" t="s">
        <v>5</v>
      </c>
    </row>
    <row r="57" spans="1:2" x14ac:dyDescent="0.2">
      <c r="A57" s="6">
        <v>0</v>
      </c>
      <c r="B57" s="8" t="s">
        <v>2</v>
      </c>
    </row>
    <row r="58" spans="1:2" x14ac:dyDescent="0.2">
      <c r="A58" s="6">
        <v>0</v>
      </c>
      <c r="B58" s="8" t="s">
        <v>6</v>
      </c>
    </row>
    <row r="59" spans="1:2" x14ac:dyDescent="0.2">
      <c r="A59" s="6">
        <v>0</v>
      </c>
      <c r="B59" s="8" t="s">
        <v>2</v>
      </c>
    </row>
    <row r="60" spans="1:2" x14ac:dyDescent="0.2">
      <c r="A60" s="6">
        <v>0</v>
      </c>
      <c r="B60" s="8" t="s">
        <v>2</v>
      </c>
    </row>
    <row r="61" spans="1:2" x14ac:dyDescent="0.2">
      <c r="A61" s="6">
        <v>0</v>
      </c>
      <c r="B61" s="8" t="s">
        <v>2</v>
      </c>
    </row>
    <row r="62" spans="1:2" x14ac:dyDescent="0.2">
      <c r="A62" s="6">
        <v>0</v>
      </c>
      <c r="B62" s="8" t="s">
        <v>5</v>
      </c>
    </row>
    <row r="63" spans="1:2" x14ac:dyDescent="0.2">
      <c r="A63" s="6">
        <v>0</v>
      </c>
      <c r="B63" s="8" t="s">
        <v>2</v>
      </c>
    </row>
    <row r="64" spans="1:2" x14ac:dyDescent="0.2">
      <c r="A64" s="6">
        <v>0</v>
      </c>
      <c r="B64" s="8" t="s">
        <v>2</v>
      </c>
    </row>
    <row r="65" spans="1:2" x14ac:dyDescent="0.2">
      <c r="A65" s="6">
        <v>0</v>
      </c>
      <c r="B65" s="8" t="s">
        <v>2</v>
      </c>
    </row>
    <row r="66" spans="1:2" x14ac:dyDescent="0.2">
      <c r="A66" s="6">
        <v>0</v>
      </c>
      <c r="B66" s="8" t="s">
        <v>6</v>
      </c>
    </row>
    <row r="67" spans="1:2" x14ac:dyDescent="0.2">
      <c r="A67" s="6">
        <v>0</v>
      </c>
      <c r="B67" s="8" t="s">
        <v>6</v>
      </c>
    </row>
    <row r="68" spans="1:2" x14ac:dyDescent="0.2">
      <c r="A68" s="6">
        <v>0</v>
      </c>
      <c r="B68" s="8" t="s">
        <v>5</v>
      </c>
    </row>
    <row r="69" spans="1:2" x14ac:dyDescent="0.2">
      <c r="A69" s="6">
        <v>1</v>
      </c>
      <c r="B69" s="8" t="s">
        <v>5</v>
      </c>
    </row>
    <row r="70" spans="1:2" x14ac:dyDescent="0.2">
      <c r="A70" s="6">
        <v>0</v>
      </c>
      <c r="B70" s="8" t="s">
        <v>6</v>
      </c>
    </row>
    <row r="71" spans="1:2" x14ac:dyDescent="0.2">
      <c r="A71" s="6">
        <v>0</v>
      </c>
      <c r="B71" s="8" t="s">
        <v>5</v>
      </c>
    </row>
    <row r="72" spans="1:2" x14ac:dyDescent="0.2">
      <c r="A72" s="6">
        <v>0</v>
      </c>
      <c r="B72" s="8" t="s">
        <v>6</v>
      </c>
    </row>
    <row r="73" spans="1:2" x14ac:dyDescent="0.2">
      <c r="A73" s="6">
        <v>0</v>
      </c>
      <c r="B73" s="8" t="s">
        <v>2</v>
      </c>
    </row>
    <row r="74" spans="1:2" x14ac:dyDescent="0.2">
      <c r="A74" s="6">
        <v>0</v>
      </c>
      <c r="B74" s="8" t="s">
        <v>2</v>
      </c>
    </row>
    <row r="75" spans="1:2" x14ac:dyDescent="0.2">
      <c r="A75" s="6">
        <v>0</v>
      </c>
      <c r="B75" s="8" t="s">
        <v>5</v>
      </c>
    </row>
    <row r="76" spans="1:2" x14ac:dyDescent="0.2">
      <c r="A76" s="6">
        <v>0</v>
      </c>
      <c r="B76" s="8" t="s">
        <v>6</v>
      </c>
    </row>
    <row r="77" spans="1:2" x14ac:dyDescent="0.2">
      <c r="A77" s="6">
        <v>0</v>
      </c>
      <c r="B77" s="8" t="s">
        <v>6</v>
      </c>
    </row>
    <row r="78" spans="1:2" x14ac:dyDescent="0.2">
      <c r="A78" s="6">
        <v>0</v>
      </c>
      <c r="B78" s="8" t="s">
        <v>5</v>
      </c>
    </row>
    <row r="79" spans="1:2" x14ac:dyDescent="0.2">
      <c r="A79" s="6">
        <v>0</v>
      </c>
      <c r="B79" s="8" t="s">
        <v>6</v>
      </c>
    </row>
    <row r="80" spans="1:2" x14ac:dyDescent="0.2">
      <c r="A80" s="6">
        <v>0</v>
      </c>
      <c r="B80" s="8" t="s">
        <v>2</v>
      </c>
    </row>
    <row r="81" spans="1:2" x14ac:dyDescent="0.2">
      <c r="A81" s="6">
        <v>1</v>
      </c>
      <c r="B81" s="8" t="s">
        <v>5</v>
      </c>
    </row>
    <row r="82" spans="1:2" x14ac:dyDescent="0.2">
      <c r="A82" s="6">
        <v>0</v>
      </c>
      <c r="B82" s="8" t="s">
        <v>5</v>
      </c>
    </row>
    <row r="83" spans="1:2" x14ac:dyDescent="0.2">
      <c r="A83" s="6">
        <v>0</v>
      </c>
      <c r="B83" s="8" t="s">
        <v>6</v>
      </c>
    </row>
    <row r="84" spans="1:2" x14ac:dyDescent="0.2">
      <c r="A84" s="6">
        <v>0</v>
      </c>
      <c r="B84" s="8" t="s">
        <v>5</v>
      </c>
    </row>
    <row r="85" spans="1:2" x14ac:dyDescent="0.2">
      <c r="A85" s="6">
        <v>0</v>
      </c>
      <c r="B85" s="8" t="s">
        <v>6</v>
      </c>
    </row>
    <row r="86" spans="1:2" x14ac:dyDescent="0.2">
      <c r="A86" s="6">
        <v>0</v>
      </c>
      <c r="B86" s="8" t="s">
        <v>6</v>
      </c>
    </row>
    <row r="87" spans="1:2" x14ac:dyDescent="0.2">
      <c r="A87" s="6">
        <v>0</v>
      </c>
      <c r="B87" s="8" t="s">
        <v>6</v>
      </c>
    </row>
    <row r="88" spans="1:2" x14ac:dyDescent="0.2">
      <c r="A88" s="6">
        <v>0</v>
      </c>
      <c r="B88" s="8" t="s">
        <v>6</v>
      </c>
    </row>
    <row r="89" spans="1:2" x14ac:dyDescent="0.2">
      <c r="A89" s="6">
        <v>0</v>
      </c>
      <c r="B89" s="8" t="s">
        <v>6</v>
      </c>
    </row>
    <row r="90" spans="1:2" x14ac:dyDescent="0.2">
      <c r="A90" s="6">
        <v>0</v>
      </c>
      <c r="B90" s="8" t="s">
        <v>5</v>
      </c>
    </row>
    <row r="91" spans="1:2" x14ac:dyDescent="0.2">
      <c r="A91" s="6">
        <v>0</v>
      </c>
      <c r="B91" s="8" t="s">
        <v>2</v>
      </c>
    </row>
    <row r="92" spans="1:2" x14ac:dyDescent="0.2">
      <c r="A92" s="6">
        <v>1</v>
      </c>
      <c r="B92" s="8" t="s">
        <v>2</v>
      </c>
    </row>
    <row r="93" spans="1:2" x14ac:dyDescent="0.2">
      <c r="A93" s="6">
        <v>0</v>
      </c>
      <c r="B93" s="8" t="s">
        <v>5</v>
      </c>
    </row>
    <row r="94" spans="1:2" x14ac:dyDescent="0.2">
      <c r="A94" s="6">
        <v>0</v>
      </c>
      <c r="B94" s="8" t="s">
        <v>5</v>
      </c>
    </row>
    <row r="95" spans="1:2" x14ac:dyDescent="0.2">
      <c r="A95" s="6">
        <v>0</v>
      </c>
      <c r="B95" s="8" t="s">
        <v>2</v>
      </c>
    </row>
    <row r="96" spans="1:2" x14ac:dyDescent="0.2">
      <c r="A96" s="6">
        <v>0</v>
      </c>
      <c r="B96" s="8" t="s">
        <v>2</v>
      </c>
    </row>
    <row r="97" spans="1:2" x14ac:dyDescent="0.2">
      <c r="A97" s="6">
        <v>0</v>
      </c>
      <c r="B97" s="8" t="s">
        <v>2</v>
      </c>
    </row>
    <row r="98" spans="1:2" x14ac:dyDescent="0.2">
      <c r="A98" s="6">
        <v>0</v>
      </c>
      <c r="B98" s="8" t="s">
        <v>2</v>
      </c>
    </row>
    <row r="99" spans="1:2" x14ac:dyDescent="0.2">
      <c r="A99" s="6">
        <v>0</v>
      </c>
      <c r="B99" s="8" t="s">
        <v>2</v>
      </c>
    </row>
    <row r="100" spans="1:2" x14ac:dyDescent="0.2">
      <c r="A100" s="6">
        <v>0</v>
      </c>
      <c r="B100" s="8" t="s">
        <v>6</v>
      </c>
    </row>
    <row r="101" spans="1:2" x14ac:dyDescent="0.2">
      <c r="A101" s="6">
        <v>0</v>
      </c>
      <c r="B101" s="8" t="s">
        <v>5</v>
      </c>
    </row>
    <row r="102" spans="1:2" x14ac:dyDescent="0.2">
      <c r="A102" s="6">
        <v>0</v>
      </c>
      <c r="B102" s="8" t="s">
        <v>6</v>
      </c>
    </row>
    <row r="103" spans="1:2" x14ac:dyDescent="0.2">
      <c r="A103" s="6">
        <v>1</v>
      </c>
      <c r="B103" s="8" t="s">
        <v>2</v>
      </c>
    </row>
    <row r="104" spans="1:2" x14ac:dyDescent="0.2">
      <c r="A104" s="6">
        <v>0</v>
      </c>
      <c r="B104" s="8" t="s">
        <v>2</v>
      </c>
    </row>
    <row r="105" spans="1:2" x14ac:dyDescent="0.2">
      <c r="A105" s="6">
        <v>0</v>
      </c>
      <c r="B105" s="8" t="s">
        <v>2</v>
      </c>
    </row>
    <row r="106" spans="1:2" x14ac:dyDescent="0.2">
      <c r="A106" s="6">
        <v>0</v>
      </c>
      <c r="B106" s="8" t="s">
        <v>6</v>
      </c>
    </row>
    <row r="107" spans="1:2" x14ac:dyDescent="0.2">
      <c r="A107" s="6">
        <v>0</v>
      </c>
      <c r="B107" s="8" t="s">
        <v>6</v>
      </c>
    </row>
    <row r="108" spans="1:2" x14ac:dyDescent="0.2">
      <c r="A108" s="6">
        <v>1</v>
      </c>
      <c r="B108" s="8" t="s">
        <v>2</v>
      </c>
    </row>
    <row r="109" spans="1:2" x14ac:dyDescent="0.2">
      <c r="A109" s="6">
        <v>0</v>
      </c>
      <c r="B109" s="8" t="s">
        <v>6</v>
      </c>
    </row>
    <row r="110" spans="1:2" x14ac:dyDescent="0.2">
      <c r="A110" s="6">
        <v>0</v>
      </c>
      <c r="B110" s="8" t="s">
        <v>6</v>
      </c>
    </row>
    <row r="111" spans="1:2" x14ac:dyDescent="0.2">
      <c r="A111" s="6">
        <v>0</v>
      </c>
      <c r="B111" s="8" t="s">
        <v>2</v>
      </c>
    </row>
    <row r="112" spans="1:2" x14ac:dyDescent="0.2">
      <c r="A112" s="6">
        <v>0</v>
      </c>
      <c r="B112" s="8" t="s">
        <v>6</v>
      </c>
    </row>
    <row r="113" spans="1:2" x14ac:dyDescent="0.2">
      <c r="A113" s="6">
        <v>0</v>
      </c>
      <c r="B113" s="8" t="s">
        <v>5</v>
      </c>
    </row>
    <row r="114" spans="1:2" x14ac:dyDescent="0.2">
      <c r="A114" s="6">
        <v>0</v>
      </c>
      <c r="B114" s="8" t="s">
        <v>5</v>
      </c>
    </row>
    <row r="115" spans="1:2" x14ac:dyDescent="0.2">
      <c r="A115" s="6">
        <v>0</v>
      </c>
      <c r="B115" s="8" t="s">
        <v>5</v>
      </c>
    </row>
    <row r="116" spans="1:2" x14ac:dyDescent="0.2">
      <c r="A116" s="6">
        <v>0</v>
      </c>
      <c r="B116" s="8" t="s">
        <v>5</v>
      </c>
    </row>
    <row r="117" spans="1:2" x14ac:dyDescent="0.2">
      <c r="A117" s="6">
        <v>0</v>
      </c>
      <c r="B117" s="8" t="s">
        <v>2</v>
      </c>
    </row>
    <row r="118" spans="1:2" x14ac:dyDescent="0.2">
      <c r="A118" s="6">
        <v>1</v>
      </c>
      <c r="B118" s="8" t="s">
        <v>2</v>
      </c>
    </row>
    <row r="119" spans="1:2" x14ac:dyDescent="0.2">
      <c r="A119" s="6">
        <v>1</v>
      </c>
      <c r="B119" s="8" t="s">
        <v>2</v>
      </c>
    </row>
    <row r="120" spans="1:2" x14ac:dyDescent="0.2">
      <c r="A120" s="6">
        <v>1</v>
      </c>
      <c r="B120" s="8" t="s">
        <v>5</v>
      </c>
    </row>
    <row r="121" spans="1:2" x14ac:dyDescent="0.2">
      <c r="A121" s="6">
        <v>0</v>
      </c>
      <c r="B121" s="8" t="s">
        <v>5</v>
      </c>
    </row>
    <row r="122" spans="1:2" x14ac:dyDescent="0.2">
      <c r="A122" s="6">
        <v>0</v>
      </c>
      <c r="B122" s="8" t="s">
        <v>6</v>
      </c>
    </row>
    <row r="123" spans="1:2" x14ac:dyDescent="0.2">
      <c r="A123" s="6">
        <v>1</v>
      </c>
      <c r="B123" s="8" t="s">
        <v>6</v>
      </c>
    </row>
    <row r="124" spans="1:2" x14ac:dyDescent="0.2">
      <c r="A124" s="6">
        <v>0</v>
      </c>
      <c r="B124" s="8" t="s">
        <v>5</v>
      </c>
    </row>
    <row r="125" spans="1:2" x14ac:dyDescent="0.2">
      <c r="A125" s="6">
        <v>0</v>
      </c>
      <c r="B125" s="8" t="s">
        <v>5</v>
      </c>
    </row>
    <row r="126" spans="1:2" x14ac:dyDescent="0.2">
      <c r="A126" s="6">
        <v>1</v>
      </c>
      <c r="B126" s="8" t="s">
        <v>5</v>
      </c>
    </row>
    <row r="127" spans="1:2" x14ac:dyDescent="0.2">
      <c r="A127" s="6">
        <v>1</v>
      </c>
      <c r="B127" s="8" t="s">
        <v>5</v>
      </c>
    </row>
    <row r="128" spans="1:2" x14ac:dyDescent="0.2">
      <c r="A128" s="6">
        <v>0</v>
      </c>
      <c r="B128" s="8" t="s">
        <v>6</v>
      </c>
    </row>
    <row r="129" spans="1:2" x14ac:dyDescent="0.2">
      <c r="A129" s="6">
        <v>0</v>
      </c>
      <c r="B129" s="8" t="s">
        <v>5</v>
      </c>
    </row>
    <row r="130" spans="1:2" x14ac:dyDescent="0.2">
      <c r="A130" s="6">
        <v>0</v>
      </c>
      <c r="B130" s="8" t="s">
        <v>6</v>
      </c>
    </row>
    <row r="131" spans="1:2" x14ac:dyDescent="0.2">
      <c r="A131" s="6">
        <v>1</v>
      </c>
      <c r="B131" s="8" t="s">
        <v>5</v>
      </c>
    </row>
    <row r="132" spans="1:2" x14ac:dyDescent="0.2">
      <c r="A132" s="6">
        <v>1</v>
      </c>
      <c r="B132" s="8" t="s">
        <v>5</v>
      </c>
    </row>
    <row r="133" spans="1:2" x14ac:dyDescent="0.2">
      <c r="A133" s="6">
        <v>0</v>
      </c>
      <c r="B133" s="8" t="s">
        <v>5</v>
      </c>
    </row>
    <row r="134" spans="1:2" x14ac:dyDescent="0.2">
      <c r="A134" s="6">
        <v>0</v>
      </c>
      <c r="B134" s="8" t="s">
        <v>6</v>
      </c>
    </row>
    <row r="135" spans="1:2" x14ac:dyDescent="0.2">
      <c r="A135" s="6">
        <v>1</v>
      </c>
      <c r="B135" s="8" t="s">
        <v>6</v>
      </c>
    </row>
    <row r="136" spans="1:2" x14ac:dyDescent="0.2">
      <c r="A136" s="6">
        <v>0</v>
      </c>
      <c r="B136" s="8" t="s">
        <v>2</v>
      </c>
    </row>
    <row r="137" spans="1:2" x14ac:dyDescent="0.2">
      <c r="A137" s="6">
        <v>0</v>
      </c>
      <c r="B137" s="8" t="s">
        <v>5</v>
      </c>
    </row>
    <row r="138" spans="1:2" x14ac:dyDescent="0.2">
      <c r="A138" s="6">
        <v>1</v>
      </c>
      <c r="B138" s="8" t="s">
        <v>2</v>
      </c>
    </row>
    <row r="139" spans="1:2" x14ac:dyDescent="0.2">
      <c r="A139" s="6">
        <v>0</v>
      </c>
      <c r="B139" s="8" t="s">
        <v>2</v>
      </c>
    </row>
    <row r="140" spans="1:2" x14ac:dyDescent="0.2">
      <c r="A140" s="6">
        <v>0</v>
      </c>
      <c r="B140" s="8" t="s">
        <v>6</v>
      </c>
    </row>
    <row r="141" spans="1:2" x14ac:dyDescent="0.2">
      <c r="A141" s="6">
        <v>0</v>
      </c>
      <c r="B141" s="8" t="s">
        <v>6</v>
      </c>
    </row>
    <row r="142" spans="1:2" x14ac:dyDescent="0.2">
      <c r="A142" s="6">
        <v>0</v>
      </c>
      <c r="B142" s="8" t="s">
        <v>2</v>
      </c>
    </row>
    <row r="143" spans="1:2" x14ac:dyDescent="0.2">
      <c r="A143" s="6">
        <v>1</v>
      </c>
      <c r="B143" s="8" t="s">
        <v>5</v>
      </c>
    </row>
    <row r="144" spans="1:2" x14ac:dyDescent="0.2">
      <c r="A144" s="6">
        <v>0</v>
      </c>
      <c r="B144" s="8" t="s">
        <v>6</v>
      </c>
    </row>
    <row r="145" spans="1:2" x14ac:dyDescent="0.2">
      <c r="A145" s="6">
        <v>1</v>
      </c>
      <c r="B145" s="8" t="s">
        <v>5</v>
      </c>
    </row>
    <row r="146" spans="1:2" x14ac:dyDescent="0.2">
      <c r="A146" s="6">
        <v>0</v>
      </c>
      <c r="B146" s="8" t="s">
        <v>5</v>
      </c>
    </row>
    <row r="147" spans="1:2" x14ac:dyDescent="0.2">
      <c r="A147" s="6">
        <v>0</v>
      </c>
      <c r="B147" s="8" t="s">
        <v>2</v>
      </c>
    </row>
    <row r="148" spans="1:2" x14ac:dyDescent="0.2">
      <c r="A148" s="6">
        <v>0</v>
      </c>
      <c r="B148" s="8" t="s">
        <v>2</v>
      </c>
    </row>
    <row r="149" spans="1:2" x14ac:dyDescent="0.2">
      <c r="A149" s="6">
        <v>0</v>
      </c>
      <c r="B149" s="8" t="s">
        <v>2</v>
      </c>
    </row>
    <row r="150" spans="1:2" x14ac:dyDescent="0.2">
      <c r="A150" s="6">
        <v>0</v>
      </c>
      <c r="B150" s="8" t="s">
        <v>2</v>
      </c>
    </row>
    <row r="151" spans="1:2" x14ac:dyDescent="0.2">
      <c r="A151" s="6">
        <v>0</v>
      </c>
      <c r="B151" s="8" t="s">
        <v>6</v>
      </c>
    </row>
    <row r="152" spans="1:2" x14ac:dyDescent="0.2">
      <c r="A152" s="6">
        <v>0</v>
      </c>
      <c r="B152" s="8" t="s">
        <v>6</v>
      </c>
    </row>
    <row r="153" spans="1:2" x14ac:dyDescent="0.2">
      <c r="A153" s="6">
        <v>0</v>
      </c>
      <c r="B153" s="8" t="s">
        <v>2</v>
      </c>
    </row>
    <row r="154" spans="1:2" x14ac:dyDescent="0.2">
      <c r="A154" s="6">
        <v>0</v>
      </c>
      <c r="B154" s="8" t="s">
        <v>6</v>
      </c>
    </row>
    <row r="155" spans="1:2" x14ac:dyDescent="0.2">
      <c r="A155" s="6">
        <v>0</v>
      </c>
      <c r="B155" s="8" t="s">
        <v>2</v>
      </c>
    </row>
    <row r="156" spans="1:2" x14ac:dyDescent="0.2">
      <c r="A156" s="6">
        <v>0</v>
      </c>
      <c r="B156" s="8" t="s">
        <v>5</v>
      </c>
    </row>
    <row r="157" spans="1:2" x14ac:dyDescent="0.2">
      <c r="A157" s="6">
        <v>0</v>
      </c>
      <c r="B157" s="8" t="s">
        <v>5</v>
      </c>
    </row>
    <row r="158" spans="1:2" x14ac:dyDescent="0.2">
      <c r="A158" s="6">
        <v>0</v>
      </c>
      <c r="B158" s="8" t="s">
        <v>5</v>
      </c>
    </row>
    <row r="159" spans="1:2" x14ac:dyDescent="0.2">
      <c r="A159" s="6">
        <v>0</v>
      </c>
      <c r="B159" s="8" t="s">
        <v>2</v>
      </c>
    </row>
    <row r="160" spans="1:2" x14ac:dyDescent="0.2">
      <c r="A160" s="6">
        <v>0</v>
      </c>
      <c r="B160" s="8" t="s">
        <v>5</v>
      </c>
    </row>
    <row r="161" spans="1:2" x14ac:dyDescent="0.2">
      <c r="A161" s="6">
        <v>0</v>
      </c>
      <c r="B161" s="8" t="s">
        <v>6</v>
      </c>
    </row>
    <row r="162" spans="1:2" x14ac:dyDescent="0.2">
      <c r="A162" s="6">
        <v>1</v>
      </c>
      <c r="B162" s="8" t="s">
        <v>5</v>
      </c>
    </row>
    <row r="163" spans="1:2" x14ac:dyDescent="0.2">
      <c r="A163" s="6">
        <v>1</v>
      </c>
      <c r="B163" s="8" t="s">
        <v>5</v>
      </c>
    </row>
    <row r="164" spans="1:2" x14ac:dyDescent="0.2">
      <c r="A164" s="6">
        <v>0</v>
      </c>
      <c r="B164" s="8" t="s">
        <v>5</v>
      </c>
    </row>
    <row r="165" spans="1:2" x14ac:dyDescent="0.2">
      <c r="A165" s="6">
        <v>0</v>
      </c>
      <c r="B165" s="8" t="s">
        <v>6</v>
      </c>
    </row>
    <row r="166" spans="1:2" x14ac:dyDescent="0.2">
      <c r="A166" s="6">
        <v>1</v>
      </c>
      <c r="B166" s="8" t="s">
        <v>2</v>
      </c>
    </row>
    <row r="167" spans="1:2" x14ac:dyDescent="0.2">
      <c r="A167" s="6">
        <v>0</v>
      </c>
      <c r="B167" s="8" t="s">
        <v>6</v>
      </c>
    </row>
    <row r="168" spans="1:2" x14ac:dyDescent="0.2">
      <c r="A168" s="6">
        <v>1</v>
      </c>
      <c r="B168" s="8" t="s">
        <v>2</v>
      </c>
    </row>
    <row r="169" spans="1:2" x14ac:dyDescent="0.2">
      <c r="A169" s="6">
        <v>1</v>
      </c>
      <c r="B169" s="8" t="s">
        <v>2</v>
      </c>
    </row>
    <row r="170" spans="1:2" x14ac:dyDescent="0.2">
      <c r="A170" s="6">
        <v>1</v>
      </c>
      <c r="B170" s="8" t="s">
        <v>5</v>
      </c>
    </row>
    <row r="171" spans="1:2" x14ac:dyDescent="0.2">
      <c r="A171" s="6">
        <v>0</v>
      </c>
      <c r="B171" s="8" t="s">
        <v>2</v>
      </c>
    </row>
    <row r="172" spans="1:2" x14ac:dyDescent="0.2">
      <c r="A172" s="6">
        <v>0</v>
      </c>
      <c r="B172" s="8" t="s">
        <v>6</v>
      </c>
    </row>
    <row r="173" spans="1:2" x14ac:dyDescent="0.2">
      <c r="A173" s="6">
        <v>0</v>
      </c>
      <c r="B173" s="8" t="s">
        <v>6</v>
      </c>
    </row>
    <row r="174" spans="1:2" x14ac:dyDescent="0.2">
      <c r="A174" s="6">
        <v>0</v>
      </c>
      <c r="B174" s="8" t="s">
        <v>2</v>
      </c>
    </row>
    <row r="175" spans="1:2" x14ac:dyDescent="0.2">
      <c r="A175" s="6">
        <v>0</v>
      </c>
      <c r="B175" s="8" t="s">
        <v>5</v>
      </c>
    </row>
    <row r="176" spans="1:2" x14ac:dyDescent="0.2">
      <c r="A176" s="6">
        <v>0</v>
      </c>
      <c r="B176" s="8" t="s">
        <v>5</v>
      </c>
    </row>
    <row r="177" spans="1:2" x14ac:dyDescent="0.2">
      <c r="A177" s="6">
        <v>0</v>
      </c>
      <c r="B177" s="8" t="s">
        <v>6</v>
      </c>
    </row>
    <row r="178" spans="1:2" x14ac:dyDescent="0.2">
      <c r="A178" s="6">
        <v>1</v>
      </c>
      <c r="B178" s="8" t="s">
        <v>5</v>
      </c>
    </row>
    <row r="179" spans="1:2" x14ac:dyDescent="0.2">
      <c r="A179" s="6">
        <v>0</v>
      </c>
      <c r="B179" s="8" t="s">
        <v>2</v>
      </c>
    </row>
    <row r="180" spans="1:2" x14ac:dyDescent="0.2">
      <c r="A180" s="6">
        <v>1</v>
      </c>
      <c r="B180" s="8" t="s">
        <v>2</v>
      </c>
    </row>
    <row r="181" spans="1:2" x14ac:dyDescent="0.2">
      <c r="A181" s="6">
        <v>1</v>
      </c>
      <c r="B181" s="8" t="s">
        <v>6</v>
      </c>
    </row>
    <row r="182" spans="1:2" x14ac:dyDescent="0.2">
      <c r="A182" s="6">
        <v>0</v>
      </c>
      <c r="B182" s="8" t="s">
        <v>2</v>
      </c>
    </row>
    <row r="183" spans="1:2" x14ac:dyDescent="0.2">
      <c r="A183" s="6">
        <v>0</v>
      </c>
      <c r="B183" s="8" t="s">
        <v>6</v>
      </c>
    </row>
    <row r="184" spans="1:2" x14ac:dyDescent="0.2">
      <c r="A184" s="6">
        <v>1</v>
      </c>
      <c r="B184" s="8" t="s">
        <v>2</v>
      </c>
    </row>
    <row r="185" spans="1:2" x14ac:dyDescent="0.2">
      <c r="A185" s="6">
        <v>0</v>
      </c>
      <c r="B185" s="8" t="s">
        <v>6</v>
      </c>
    </row>
    <row r="186" spans="1:2" x14ac:dyDescent="0.2">
      <c r="A186" s="6">
        <v>0</v>
      </c>
      <c r="B186" s="8" t="s">
        <v>5</v>
      </c>
    </row>
    <row r="187" spans="1:2" x14ac:dyDescent="0.2">
      <c r="A187" s="6">
        <v>0</v>
      </c>
      <c r="B187" s="8" t="s">
        <v>2</v>
      </c>
    </row>
    <row r="188" spans="1:2" x14ac:dyDescent="0.2">
      <c r="A188" s="6">
        <v>0</v>
      </c>
      <c r="B188" s="8" t="s">
        <v>2</v>
      </c>
    </row>
    <row r="189" spans="1:2" x14ac:dyDescent="0.2">
      <c r="A189" s="6">
        <v>0</v>
      </c>
      <c r="B189" s="8" t="s">
        <v>6</v>
      </c>
    </row>
    <row r="190" spans="1:2" x14ac:dyDescent="0.2">
      <c r="A190" s="6">
        <v>0</v>
      </c>
      <c r="B190" s="8" t="s">
        <v>6</v>
      </c>
    </row>
    <row r="191" spans="1:2" x14ac:dyDescent="0.2">
      <c r="A191" s="6">
        <v>0</v>
      </c>
      <c r="B191" s="8" t="s">
        <v>2</v>
      </c>
    </row>
    <row r="192" spans="1:2" x14ac:dyDescent="0.2">
      <c r="A192" s="6">
        <v>0</v>
      </c>
      <c r="B192" s="8" t="s">
        <v>6</v>
      </c>
    </row>
    <row r="193" spans="1:2" x14ac:dyDescent="0.2">
      <c r="A193" s="6">
        <v>0</v>
      </c>
      <c r="B193" s="8" t="s">
        <v>2</v>
      </c>
    </row>
    <row r="194" spans="1:2" x14ac:dyDescent="0.2">
      <c r="A194" s="6">
        <v>0</v>
      </c>
      <c r="B194" s="8" t="s">
        <v>5</v>
      </c>
    </row>
    <row r="195" spans="1:2" x14ac:dyDescent="0.2">
      <c r="A195" s="6">
        <v>0</v>
      </c>
      <c r="B195" s="8" t="s">
        <v>6</v>
      </c>
    </row>
    <row r="196" spans="1:2" x14ac:dyDescent="0.2">
      <c r="A196" s="6">
        <v>1</v>
      </c>
      <c r="B196" s="8" t="s">
        <v>2</v>
      </c>
    </row>
    <row r="197" spans="1:2" x14ac:dyDescent="0.2">
      <c r="A197" s="6">
        <v>0</v>
      </c>
      <c r="B197" s="8" t="s">
        <v>5</v>
      </c>
    </row>
    <row r="198" spans="1:2" x14ac:dyDescent="0.2">
      <c r="A198" s="6">
        <v>0</v>
      </c>
      <c r="B198" s="8" t="s">
        <v>5</v>
      </c>
    </row>
    <row r="199" spans="1:2" x14ac:dyDescent="0.2">
      <c r="A199" s="6">
        <v>0</v>
      </c>
      <c r="B199" s="8" t="s">
        <v>2</v>
      </c>
    </row>
    <row r="200" spans="1:2" x14ac:dyDescent="0.2">
      <c r="A200" s="6">
        <v>0</v>
      </c>
      <c r="B200" s="8" t="s">
        <v>6</v>
      </c>
    </row>
    <row r="201" spans="1:2" x14ac:dyDescent="0.2">
      <c r="A201" s="6">
        <v>0</v>
      </c>
      <c r="B201" s="8" t="s">
        <v>2</v>
      </c>
    </row>
    <row r="202" spans="1:2" x14ac:dyDescent="0.2">
      <c r="A202" s="6">
        <v>1</v>
      </c>
      <c r="B202" s="8" t="s">
        <v>5</v>
      </c>
    </row>
    <row r="203" spans="1:2" x14ac:dyDescent="0.2">
      <c r="A203" s="6">
        <v>0</v>
      </c>
      <c r="B203" s="8" t="s">
        <v>2</v>
      </c>
    </row>
    <row r="204" spans="1:2" x14ac:dyDescent="0.2">
      <c r="A204" s="6">
        <v>1</v>
      </c>
      <c r="B204" s="8" t="s">
        <v>6</v>
      </c>
    </row>
    <row r="205" spans="1:2" x14ac:dyDescent="0.2">
      <c r="A205" s="6">
        <v>0</v>
      </c>
      <c r="B205" s="8" t="s">
        <v>5</v>
      </c>
    </row>
    <row r="206" spans="1:2" x14ac:dyDescent="0.2">
      <c r="A206" s="6">
        <v>0</v>
      </c>
      <c r="B206" s="8" t="s">
        <v>2</v>
      </c>
    </row>
    <row r="207" spans="1:2" x14ac:dyDescent="0.2">
      <c r="A207" s="6">
        <v>0</v>
      </c>
      <c r="B207" s="8" t="s">
        <v>6</v>
      </c>
    </row>
    <row r="208" spans="1:2" x14ac:dyDescent="0.2">
      <c r="A208" s="6">
        <v>1</v>
      </c>
      <c r="B208" s="8" t="s">
        <v>5</v>
      </c>
    </row>
    <row r="209" spans="1:2" x14ac:dyDescent="0.2">
      <c r="A209" s="6">
        <v>0</v>
      </c>
      <c r="B209" s="8" t="s">
        <v>6</v>
      </c>
    </row>
    <row r="210" spans="1:2" x14ac:dyDescent="0.2">
      <c r="A210" s="6">
        <v>0</v>
      </c>
      <c r="B210" s="8" t="s">
        <v>5</v>
      </c>
    </row>
    <row r="211" spans="1:2" x14ac:dyDescent="0.2">
      <c r="A211" s="6">
        <v>0</v>
      </c>
      <c r="B211" s="8" t="s">
        <v>2</v>
      </c>
    </row>
    <row r="212" spans="1:2" x14ac:dyDescent="0.2">
      <c r="A212" s="6">
        <v>0</v>
      </c>
      <c r="B212" s="8" t="s">
        <v>6</v>
      </c>
    </row>
    <row r="213" spans="1:2" x14ac:dyDescent="0.2">
      <c r="A213" s="6">
        <v>0</v>
      </c>
      <c r="B213" s="8" t="s">
        <v>5</v>
      </c>
    </row>
    <row r="214" spans="1:2" x14ac:dyDescent="0.2">
      <c r="A214" s="6">
        <v>0</v>
      </c>
      <c r="B214" s="8" t="s">
        <v>6</v>
      </c>
    </row>
    <row r="215" spans="1:2" x14ac:dyDescent="0.2">
      <c r="A215" s="6">
        <v>0</v>
      </c>
      <c r="B215" s="8" t="s">
        <v>6</v>
      </c>
    </row>
    <row r="216" spans="1:2" x14ac:dyDescent="0.2">
      <c r="A216" s="6">
        <v>0</v>
      </c>
      <c r="B216" s="8" t="s">
        <v>2</v>
      </c>
    </row>
    <row r="217" spans="1:2" x14ac:dyDescent="0.2">
      <c r="A217" s="6">
        <v>0</v>
      </c>
      <c r="B217" s="8" t="s">
        <v>6</v>
      </c>
    </row>
    <row r="218" spans="1:2" x14ac:dyDescent="0.2">
      <c r="A218" s="6">
        <v>1</v>
      </c>
      <c r="B218" s="8" t="s">
        <v>5</v>
      </c>
    </row>
    <row r="219" spans="1:2" x14ac:dyDescent="0.2">
      <c r="A219" s="6">
        <v>1</v>
      </c>
      <c r="B219" s="8" t="s">
        <v>5</v>
      </c>
    </row>
    <row r="220" spans="1:2" x14ac:dyDescent="0.2">
      <c r="A220" s="6">
        <v>1</v>
      </c>
      <c r="B220" s="8" t="s">
        <v>5</v>
      </c>
    </row>
    <row r="221" spans="1:2" x14ac:dyDescent="0.2">
      <c r="A221" s="6">
        <v>0</v>
      </c>
      <c r="B221" s="8" t="s">
        <v>5</v>
      </c>
    </row>
    <row r="222" spans="1:2" x14ac:dyDescent="0.2">
      <c r="A222" s="6">
        <v>0</v>
      </c>
      <c r="B222" s="8" t="s">
        <v>2</v>
      </c>
    </row>
    <row r="223" spans="1:2" x14ac:dyDescent="0.2">
      <c r="A223" s="6">
        <v>0</v>
      </c>
      <c r="B223" s="8" t="s">
        <v>6</v>
      </c>
    </row>
    <row r="224" spans="1:2" x14ac:dyDescent="0.2">
      <c r="A224" s="6">
        <v>0</v>
      </c>
      <c r="B224" s="8" t="s">
        <v>2</v>
      </c>
    </row>
    <row r="225" spans="1:2" x14ac:dyDescent="0.2">
      <c r="A225" s="6">
        <v>0</v>
      </c>
      <c r="B225" s="8" t="s">
        <v>6</v>
      </c>
    </row>
    <row r="226" spans="1:2" x14ac:dyDescent="0.2">
      <c r="A226" s="6">
        <v>0</v>
      </c>
      <c r="B226" s="8" t="s">
        <v>6</v>
      </c>
    </row>
    <row r="227" spans="1:2" x14ac:dyDescent="0.2">
      <c r="A227" s="6">
        <v>0</v>
      </c>
      <c r="B227" s="8" t="s">
        <v>6</v>
      </c>
    </row>
    <row r="228" spans="1:2" x14ac:dyDescent="0.2">
      <c r="A228" s="6">
        <v>0</v>
      </c>
      <c r="B228" s="8" t="s">
        <v>2</v>
      </c>
    </row>
    <row r="229" spans="1:2" x14ac:dyDescent="0.2">
      <c r="A229" s="6">
        <v>1</v>
      </c>
      <c r="B229" s="8" t="s">
        <v>6</v>
      </c>
    </row>
    <row r="230" spans="1:2" x14ac:dyDescent="0.2">
      <c r="A230" s="6">
        <v>0</v>
      </c>
      <c r="B230" s="8" t="s">
        <v>2</v>
      </c>
    </row>
    <row r="231" spans="1:2" x14ac:dyDescent="0.2">
      <c r="A231" s="6">
        <v>0</v>
      </c>
      <c r="B231" s="8" t="s">
        <v>5</v>
      </c>
    </row>
    <row r="232" spans="1:2" x14ac:dyDescent="0.2">
      <c r="A232" s="6">
        <v>0</v>
      </c>
      <c r="B232" s="8" t="s">
        <v>5</v>
      </c>
    </row>
    <row r="233" spans="1:2" x14ac:dyDescent="0.2">
      <c r="A233" s="6">
        <v>0</v>
      </c>
      <c r="B233" s="8" t="s">
        <v>6</v>
      </c>
    </row>
    <row r="234" spans="1:2" x14ac:dyDescent="0.2">
      <c r="A234" s="6">
        <v>0</v>
      </c>
      <c r="B234" s="8" t="s">
        <v>2</v>
      </c>
    </row>
    <row r="235" spans="1:2" x14ac:dyDescent="0.2">
      <c r="A235" s="6">
        <v>1</v>
      </c>
      <c r="B235" s="8" t="s">
        <v>5</v>
      </c>
    </row>
    <row r="236" spans="1:2" x14ac:dyDescent="0.2">
      <c r="A236" s="6">
        <v>1</v>
      </c>
      <c r="B236" s="8" t="s">
        <v>2</v>
      </c>
    </row>
    <row r="237" spans="1:2" x14ac:dyDescent="0.2">
      <c r="A237" s="6">
        <v>0</v>
      </c>
      <c r="B237" s="8" t="s">
        <v>2</v>
      </c>
    </row>
    <row r="238" spans="1:2" x14ac:dyDescent="0.2">
      <c r="A238" s="6">
        <v>1</v>
      </c>
      <c r="B238" s="8" t="s">
        <v>6</v>
      </c>
    </row>
    <row r="239" spans="1:2" x14ac:dyDescent="0.2">
      <c r="A239" s="6">
        <v>1</v>
      </c>
      <c r="B239" s="8" t="s">
        <v>5</v>
      </c>
    </row>
    <row r="240" spans="1:2" x14ac:dyDescent="0.2">
      <c r="A240" s="6">
        <v>1</v>
      </c>
      <c r="B240" s="8" t="s">
        <v>6</v>
      </c>
    </row>
    <row r="241" spans="1:2" x14ac:dyDescent="0.2">
      <c r="A241" s="6">
        <v>1</v>
      </c>
      <c r="B241" s="8" t="s">
        <v>6</v>
      </c>
    </row>
    <row r="242" spans="1:2" x14ac:dyDescent="0.2">
      <c r="A242" s="6">
        <v>0</v>
      </c>
      <c r="B242" s="8" t="s">
        <v>5</v>
      </c>
    </row>
    <row r="243" spans="1:2" x14ac:dyDescent="0.2">
      <c r="A243" s="6">
        <v>0</v>
      </c>
      <c r="B243" s="8" t="s">
        <v>5</v>
      </c>
    </row>
    <row r="244" spans="1:2" x14ac:dyDescent="0.2">
      <c r="A244" s="6">
        <v>0</v>
      </c>
      <c r="B244" s="8" t="s">
        <v>2</v>
      </c>
    </row>
    <row r="245" spans="1:2" x14ac:dyDescent="0.2">
      <c r="A245" s="6">
        <v>0</v>
      </c>
      <c r="B245" s="8" t="s">
        <v>5</v>
      </c>
    </row>
    <row r="246" spans="1:2" x14ac:dyDescent="0.2">
      <c r="A246" s="6">
        <v>1</v>
      </c>
      <c r="B246" s="8" t="s">
        <v>2</v>
      </c>
    </row>
    <row r="247" spans="1:2" x14ac:dyDescent="0.2">
      <c r="A247" s="6">
        <v>0</v>
      </c>
      <c r="B247" s="8" t="s">
        <v>2</v>
      </c>
    </row>
    <row r="248" spans="1:2" x14ac:dyDescent="0.2">
      <c r="A248" s="6">
        <v>0</v>
      </c>
      <c r="B248" s="8" t="s">
        <v>2</v>
      </c>
    </row>
    <row r="249" spans="1:2" x14ac:dyDescent="0.2">
      <c r="A249" s="6">
        <v>1</v>
      </c>
      <c r="B249" s="8" t="s">
        <v>5</v>
      </c>
    </row>
    <row r="250" spans="1:2" x14ac:dyDescent="0.2">
      <c r="A250" s="6">
        <v>1</v>
      </c>
      <c r="B250" s="8" t="s">
        <v>6</v>
      </c>
    </row>
    <row r="251" spans="1:2" x14ac:dyDescent="0.2">
      <c r="A251" s="6">
        <v>1</v>
      </c>
      <c r="B251" s="8" t="s">
        <v>2</v>
      </c>
    </row>
    <row r="252" spans="1:2" x14ac:dyDescent="0.2">
      <c r="A252" s="6">
        <v>0</v>
      </c>
      <c r="B252" s="8" t="s">
        <v>6</v>
      </c>
    </row>
    <row r="253" spans="1:2" x14ac:dyDescent="0.2">
      <c r="A253" s="6">
        <v>0</v>
      </c>
      <c r="B253" s="8" t="s">
        <v>6</v>
      </c>
    </row>
    <row r="254" spans="1:2" x14ac:dyDescent="0.2">
      <c r="A254" s="6">
        <v>0</v>
      </c>
      <c r="B254" s="8" t="s">
        <v>5</v>
      </c>
    </row>
    <row r="255" spans="1:2" x14ac:dyDescent="0.2">
      <c r="A255" s="6">
        <v>0</v>
      </c>
      <c r="B255" s="8" t="s">
        <v>6</v>
      </c>
    </row>
    <row r="256" spans="1:2" x14ac:dyDescent="0.2">
      <c r="A256" s="6">
        <v>0</v>
      </c>
      <c r="B256" s="8" t="s">
        <v>6</v>
      </c>
    </row>
    <row r="257" spans="1:2" x14ac:dyDescent="0.2">
      <c r="A257" s="6">
        <v>0</v>
      </c>
      <c r="B257" s="8" t="s">
        <v>5</v>
      </c>
    </row>
    <row r="258" spans="1:2" x14ac:dyDescent="0.2">
      <c r="A258" s="6">
        <v>1</v>
      </c>
      <c r="B258" s="8" t="s">
        <v>2</v>
      </c>
    </row>
    <row r="259" spans="1:2" x14ac:dyDescent="0.2">
      <c r="A259" s="6">
        <v>0</v>
      </c>
      <c r="B259" s="8" t="s">
        <v>6</v>
      </c>
    </row>
    <row r="260" spans="1:2" x14ac:dyDescent="0.2">
      <c r="A260" s="6">
        <v>0</v>
      </c>
      <c r="B260" s="8" t="s">
        <v>5</v>
      </c>
    </row>
    <row r="261" spans="1:2" x14ac:dyDescent="0.2">
      <c r="A261" s="6">
        <v>0</v>
      </c>
      <c r="B261" s="8" t="s">
        <v>6</v>
      </c>
    </row>
    <row r="262" spans="1:2" x14ac:dyDescent="0.2">
      <c r="A262" s="6">
        <v>0</v>
      </c>
      <c r="B262" s="8" t="s">
        <v>6</v>
      </c>
    </row>
    <row r="263" spans="1:2" x14ac:dyDescent="0.2">
      <c r="A263" s="6">
        <v>0</v>
      </c>
      <c r="B263" s="8" t="s">
        <v>2</v>
      </c>
    </row>
    <row r="264" spans="1:2" x14ac:dyDescent="0.2">
      <c r="A264" s="6">
        <v>1</v>
      </c>
      <c r="B264" s="8" t="s">
        <v>6</v>
      </c>
    </row>
    <row r="265" spans="1:2" x14ac:dyDescent="0.2">
      <c r="A265" s="6">
        <v>0</v>
      </c>
      <c r="B265" s="8" t="s">
        <v>5</v>
      </c>
    </row>
    <row r="266" spans="1:2" x14ac:dyDescent="0.2">
      <c r="A266" s="6">
        <v>1</v>
      </c>
      <c r="B266" s="8" t="s">
        <v>6</v>
      </c>
    </row>
    <row r="267" spans="1:2" x14ac:dyDescent="0.2">
      <c r="A267" s="6">
        <v>0</v>
      </c>
      <c r="B267" s="8" t="s">
        <v>2</v>
      </c>
    </row>
    <row r="268" spans="1:2" x14ac:dyDescent="0.2">
      <c r="A268" s="6">
        <v>1</v>
      </c>
      <c r="B268" s="8" t="s">
        <v>2</v>
      </c>
    </row>
    <row r="269" spans="1:2" x14ac:dyDescent="0.2">
      <c r="A269" s="6">
        <v>0</v>
      </c>
      <c r="B269" s="8" t="s">
        <v>5</v>
      </c>
    </row>
    <row r="270" spans="1:2" x14ac:dyDescent="0.2">
      <c r="A270" s="6">
        <v>0</v>
      </c>
      <c r="B270" s="8" t="s">
        <v>2</v>
      </c>
    </row>
    <row r="271" spans="1:2" x14ac:dyDescent="0.2">
      <c r="A271" s="6">
        <v>0</v>
      </c>
      <c r="B271" s="8" t="s">
        <v>6</v>
      </c>
    </row>
    <row r="272" spans="1:2" x14ac:dyDescent="0.2">
      <c r="A272" s="6">
        <v>1</v>
      </c>
      <c r="B272" s="8" t="s">
        <v>2</v>
      </c>
    </row>
    <row r="273" spans="1:2" x14ac:dyDescent="0.2">
      <c r="A273" s="6">
        <v>0</v>
      </c>
      <c r="B273" s="8" t="s">
        <v>5</v>
      </c>
    </row>
    <row r="274" spans="1:2" x14ac:dyDescent="0.2">
      <c r="A274" s="6">
        <v>0</v>
      </c>
      <c r="B274" s="8" t="s">
        <v>2</v>
      </c>
    </row>
    <row r="275" spans="1:2" x14ac:dyDescent="0.2">
      <c r="A275" s="6">
        <v>1</v>
      </c>
      <c r="B275" s="8" t="s">
        <v>2</v>
      </c>
    </row>
    <row r="276" spans="1:2" x14ac:dyDescent="0.2">
      <c r="A276" s="6">
        <v>1</v>
      </c>
      <c r="B276" s="8" t="s">
        <v>2</v>
      </c>
    </row>
    <row r="277" spans="1:2" x14ac:dyDescent="0.2">
      <c r="A277" s="6">
        <v>0</v>
      </c>
      <c r="B277" s="8" t="s">
        <v>5</v>
      </c>
    </row>
    <row r="278" spans="1:2" x14ac:dyDescent="0.2">
      <c r="A278" s="6">
        <v>0</v>
      </c>
      <c r="B278" s="8" t="s">
        <v>2</v>
      </c>
    </row>
    <row r="279" spans="1:2" x14ac:dyDescent="0.2">
      <c r="A279" s="6">
        <v>0</v>
      </c>
      <c r="B279" s="8" t="s">
        <v>2</v>
      </c>
    </row>
    <row r="280" spans="1:2" x14ac:dyDescent="0.2">
      <c r="A280" s="6">
        <v>0</v>
      </c>
      <c r="B280" s="8" t="s">
        <v>6</v>
      </c>
    </row>
    <row r="281" spans="1:2" x14ac:dyDescent="0.2">
      <c r="A281" s="6">
        <v>0</v>
      </c>
      <c r="B281" s="8" t="s">
        <v>5</v>
      </c>
    </row>
    <row r="282" spans="1:2" x14ac:dyDescent="0.2">
      <c r="A282" s="6">
        <v>1</v>
      </c>
      <c r="B282" s="8" t="s">
        <v>2</v>
      </c>
    </row>
    <row r="283" spans="1:2" x14ac:dyDescent="0.2">
      <c r="A283" s="6">
        <v>1</v>
      </c>
      <c r="B283" s="8" t="s">
        <v>5</v>
      </c>
    </row>
    <row r="284" spans="1:2" x14ac:dyDescent="0.2">
      <c r="A284" s="6">
        <v>0</v>
      </c>
      <c r="B284" s="8" t="s">
        <v>2</v>
      </c>
    </row>
    <row r="285" spans="1:2" x14ac:dyDescent="0.2">
      <c r="A285" s="6">
        <v>0</v>
      </c>
      <c r="B285" s="8" t="s">
        <v>2</v>
      </c>
    </row>
    <row r="286" spans="1:2" x14ac:dyDescent="0.2">
      <c r="A286" s="6">
        <v>0</v>
      </c>
      <c r="B286" s="8" t="s">
        <v>2</v>
      </c>
    </row>
    <row r="287" spans="1:2" x14ac:dyDescent="0.2">
      <c r="A287" s="6">
        <v>1</v>
      </c>
      <c r="B287" s="8" t="s">
        <v>6</v>
      </c>
    </row>
    <row r="288" spans="1:2" x14ac:dyDescent="0.2">
      <c r="A288" s="6">
        <v>1</v>
      </c>
      <c r="B288" s="8" t="s">
        <v>6</v>
      </c>
    </row>
    <row r="289" spans="1:2" x14ac:dyDescent="0.2">
      <c r="A289" s="6">
        <v>0</v>
      </c>
      <c r="B289" s="8" t="s">
        <v>6</v>
      </c>
    </row>
    <row r="290" spans="1:2" x14ac:dyDescent="0.2">
      <c r="A290" s="6">
        <v>1</v>
      </c>
      <c r="B290" s="8" t="s">
        <v>5</v>
      </c>
    </row>
    <row r="291" spans="1:2" x14ac:dyDescent="0.2">
      <c r="A291" s="6">
        <v>0</v>
      </c>
      <c r="B291" s="8" t="s">
        <v>5</v>
      </c>
    </row>
    <row r="292" spans="1:2" x14ac:dyDescent="0.2">
      <c r="A292" s="6">
        <v>0</v>
      </c>
      <c r="B292" s="8" t="s">
        <v>6</v>
      </c>
    </row>
    <row r="293" spans="1:2" x14ac:dyDescent="0.2">
      <c r="A293" s="6">
        <v>0</v>
      </c>
      <c r="B293" s="8" t="s">
        <v>5</v>
      </c>
    </row>
    <row r="294" spans="1:2" x14ac:dyDescent="0.2">
      <c r="A294" s="6">
        <v>0</v>
      </c>
      <c r="B294" s="8" t="s">
        <v>2</v>
      </c>
    </row>
    <row r="295" spans="1:2" x14ac:dyDescent="0.2">
      <c r="A295" s="6">
        <v>0</v>
      </c>
      <c r="B295" s="8" t="s">
        <v>2</v>
      </c>
    </row>
    <row r="296" spans="1:2" x14ac:dyDescent="0.2">
      <c r="A296" s="6">
        <v>0</v>
      </c>
      <c r="B296" s="8" t="s">
        <v>2</v>
      </c>
    </row>
    <row r="297" spans="1:2" x14ac:dyDescent="0.2">
      <c r="A297" s="6">
        <v>0</v>
      </c>
      <c r="B297" s="8" t="s">
        <v>6</v>
      </c>
    </row>
    <row r="298" spans="1:2" x14ac:dyDescent="0.2">
      <c r="A298" s="6">
        <v>1</v>
      </c>
      <c r="B298" s="8" t="s">
        <v>5</v>
      </c>
    </row>
    <row r="299" spans="1:2" x14ac:dyDescent="0.2">
      <c r="A299" s="6">
        <v>0</v>
      </c>
      <c r="B299" s="8" t="s">
        <v>6</v>
      </c>
    </row>
    <row r="300" spans="1:2" x14ac:dyDescent="0.2">
      <c r="A300" s="6">
        <v>0</v>
      </c>
      <c r="B300" s="8" t="s">
        <v>5</v>
      </c>
    </row>
    <row r="301" spans="1:2" x14ac:dyDescent="0.2">
      <c r="A301" s="6">
        <v>0</v>
      </c>
      <c r="B301" s="8" t="s">
        <v>2</v>
      </c>
    </row>
    <row r="302" spans="1:2" x14ac:dyDescent="0.2">
      <c r="A302" s="6">
        <v>0</v>
      </c>
      <c r="B302" s="8" t="s">
        <v>6</v>
      </c>
    </row>
    <row r="303" spans="1:2" x14ac:dyDescent="0.2">
      <c r="A303" s="6">
        <v>0</v>
      </c>
      <c r="B303" s="8" t="s">
        <v>5</v>
      </c>
    </row>
    <row r="304" spans="1:2" x14ac:dyDescent="0.2">
      <c r="A304" s="6">
        <v>0</v>
      </c>
      <c r="B304" s="8" t="s">
        <v>5</v>
      </c>
    </row>
    <row r="305" spans="1:2" x14ac:dyDescent="0.2">
      <c r="A305" s="6">
        <v>0</v>
      </c>
      <c r="B305" s="8" t="s">
        <v>2</v>
      </c>
    </row>
    <row r="306" spans="1:2" x14ac:dyDescent="0.2">
      <c r="A306" s="6">
        <v>0</v>
      </c>
      <c r="B306" s="8" t="s">
        <v>6</v>
      </c>
    </row>
    <row r="307" spans="1:2" x14ac:dyDescent="0.2">
      <c r="A307" s="6">
        <v>0</v>
      </c>
      <c r="B307" s="8" t="s">
        <v>6</v>
      </c>
    </row>
    <row r="308" spans="1:2" x14ac:dyDescent="0.2">
      <c r="A308" s="6">
        <v>0</v>
      </c>
      <c r="B308" s="8" t="s">
        <v>6</v>
      </c>
    </row>
    <row r="309" spans="1:2" x14ac:dyDescent="0.2">
      <c r="A309" s="6">
        <v>0</v>
      </c>
      <c r="B309" s="8" t="s">
        <v>2</v>
      </c>
    </row>
    <row r="310" spans="1:2" x14ac:dyDescent="0.2">
      <c r="A310" s="6">
        <v>0</v>
      </c>
      <c r="B310" s="8" t="s">
        <v>6</v>
      </c>
    </row>
    <row r="311" spans="1:2" x14ac:dyDescent="0.2">
      <c r="A311" s="6">
        <v>0</v>
      </c>
      <c r="B311" s="8" t="s">
        <v>2</v>
      </c>
    </row>
    <row r="312" spans="1:2" x14ac:dyDescent="0.2">
      <c r="A312" s="6">
        <v>1</v>
      </c>
      <c r="B312" s="8" t="s">
        <v>2</v>
      </c>
    </row>
    <row r="313" spans="1:2" x14ac:dyDescent="0.2">
      <c r="A313" s="6">
        <v>0</v>
      </c>
      <c r="B313" s="8" t="s">
        <v>2</v>
      </c>
    </row>
    <row r="314" spans="1:2" x14ac:dyDescent="0.2">
      <c r="A314" s="6">
        <v>0</v>
      </c>
      <c r="B314" s="8" t="s">
        <v>5</v>
      </c>
    </row>
    <row r="315" spans="1:2" x14ac:dyDescent="0.2">
      <c r="A315" s="6">
        <v>1</v>
      </c>
      <c r="B315" s="8" t="s">
        <v>6</v>
      </c>
    </row>
    <row r="316" spans="1:2" x14ac:dyDescent="0.2">
      <c r="A316" s="6">
        <v>0</v>
      </c>
      <c r="B316" s="8" t="s">
        <v>6</v>
      </c>
    </row>
    <row r="317" spans="1:2" x14ac:dyDescent="0.2">
      <c r="A317" s="6">
        <v>0</v>
      </c>
      <c r="B317" s="8" t="s">
        <v>2</v>
      </c>
    </row>
    <row r="318" spans="1:2" x14ac:dyDescent="0.2">
      <c r="A318" s="6">
        <v>1</v>
      </c>
      <c r="B318" s="8" t="s">
        <v>2</v>
      </c>
    </row>
    <row r="319" spans="1:2" x14ac:dyDescent="0.2">
      <c r="A319" s="6">
        <v>1</v>
      </c>
      <c r="B319" s="8" t="s">
        <v>6</v>
      </c>
    </row>
    <row r="320" spans="1:2" x14ac:dyDescent="0.2">
      <c r="A320" s="6">
        <v>1</v>
      </c>
      <c r="B320" s="8" t="s">
        <v>2</v>
      </c>
    </row>
    <row r="321" spans="1:2" x14ac:dyDescent="0.2">
      <c r="A321" s="6">
        <v>0</v>
      </c>
      <c r="B321" s="8" t="s">
        <v>6</v>
      </c>
    </row>
    <row r="322" spans="1:2" x14ac:dyDescent="0.2">
      <c r="A322" s="6">
        <v>0</v>
      </c>
      <c r="B322" s="8" t="s">
        <v>5</v>
      </c>
    </row>
    <row r="323" spans="1:2" x14ac:dyDescent="0.2">
      <c r="A323" s="6">
        <v>0</v>
      </c>
      <c r="B323" s="8" t="s">
        <v>2</v>
      </c>
    </row>
    <row r="324" spans="1:2" x14ac:dyDescent="0.2">
      <c r="A324" s="6">
        <v>0</v>
      </c>
      <c r="B324" s="8" t="s">
        <v>6</v>
      </c>
    </row>
    <row r="325" spans="1:2" x14ac:dyDescent="0.2">
      <c r="A325" s="6">
        <v>0</v>
      </c>
      <c r="B325" s="8" t="s">
        <v>2</v>
      </c>
    </row>
    <row r="326" spans="1:2" x14ac:dyDescent="0.2">
      <c r="A326" s="6">
        <v>0</v>
      </c>
      <c r="B326" s="8" t="s">
        <v>6</v>
      </c>
    </row>
    <row r="327" spans="1:2" x14ac:dyDescent="0.2">
      <c r="A327" s="6">
        <v>1</v>
      </c>
      <c r="B327" s="8" t="s">
        <v>6</v>
      </c>
    </row>
    <row r="328" spans="1:2" x14ac:dyDescent="0.2">
      <c r="A328" s="6">
        <v>0</v>
      </c>
      <c r="B328" s="8" t="s">
        <v>2</v>
      </c>
    </row>
    <row r="329" spans="1:2" x14ac:dyDescent="0.2">
      <c r="A329" s="6">
        <v>0</v>
      </c>
      <c r="B329" s="8" t="s">
        <v>5</v>
      </c>
    </row>
    <row r="330" spans="1:2" x14ac:dyDescent="0.2">
      <c r="A330" s="6">
        <v>0</v>
      </c>
      <c r="B330" s="8" t="s">
        <v>6</v>
      </c>
    </row>
    <row r="331" spans="1:2" x14ac:dyDescent="0.2">
      <c r="A331" s="6">
        <v>0</v>
      </c>
      <c r="B331" s="8" t="s">
        <v>6</v>
      </c>
    </row>
    <row r="332" spans="1:2" x14ac:dyDescent="0.2">
      <c r="A332" s="6">
        <v>0</v>
      </c>
      <c r="B332" s="8" t="s">
        <v>6</v>
      </c>
    </row>
    <row r="333" spans="1:2" x14ac:dyDescent="0.2">
      <c r="A333" s="6">
        <v>0</v>
      </c>
      <c r="B333" s="8" t="s">
        <v>5</v>
      </c>
    </row>
    <row r="334" spans="1:2" x14ac:dyDescent="0.2">
      <c r="A334" s="6">
        <v>0</v>
      </c>
      <c r="B334" s="8" t="s">
        <v>5</v>
      </c>
    </row>
    <row r="335" spans="1:2" x14ac:dyDescent="0.2">
      <c r="A335" s="6">
        <v>0</v>
      </c>
      <c r="B335" s="8" t="s">
        <v>2</v>
      </c>
    </row>
    <row r="336" spans="1:2" x14ac:dyDescent="0.2">
      <c r="A336" s="6">
        <v>1</v>
      </c>
      <c r="B336" s="8" t="s">
        <v>5</v>
      </c>
    </row>
    <row r="337" spans="1:2" x14ac:dyDescent="0.2">
      <c r="A337" s="6">
        <v>1</v>
      </c>
      <c r="B337" s="8" t="s">
        <v>2</v>
      </c>
    </row>
    <row r="338" spans="1:2" x14ac:dyDescent="0.2">
      <c r="A338" s="6">
        <v>0</v>
      </c>
      <c r="B338" s="8" t="s">
        <v>2</v>
      </c>
    </row>
    <row r="339" spans="1:2" x14ac:dyDescent="0.2">
      <c r="A339" s="6">
        <v>0</v>
      </c>
      <c r="B339" s="8" t="s">
        <v>5</v>
      </c>
    </row>
    <row r="340" spans="1:2" x14ac:dyDescent="0.2">
      <c r="A340" s="6">
        <v>1</v>
      </c>
      <c r="B340" s="8" t="s">
        <v>2</v>
      </c>
    </row>
    <row r="341" spans="1:2" x14ac:dyDescent="0.2">
      <c r="A341" s="6">
        <v>1</v>
      </c>
      <c r="B341" s="8" t="s">
        <v>5</v>
      </c>
    </row>
    <row r="342" spans="1:2" x14ac:dyDescent="0.2">
      <c r="A342" s="6">
        <v>0</v>
      </c>
      <c r="B342" s="8" t="s">
        <v>2</v>
      </c>
    </row>
    <row r="343" spans="1:2" x14ac:dyDescent="0.2">
      <c r="A343" s="6">
        <v>0</v>
      </c>
      <c r="B343" s="8" t="s">
        <v>5</v>
      </c>
    </row>
    <row r="344" spans="1:2" x14ac:dyDescent="0.2">
      <c r="A344" s="6">
        <v>0</v>
      </c>
      <c r="B344" s="8" t="s">
        <v>5</v>
      </c>
    </row>
    <row r="345" spans="1:2" x14ac:dyDescent="0.2">
      <c r="A345" s="6">
        <v>1</v>
      </c>
      <c r="B345" s="8" t="s">
        <v>2</v>
      </c>
    </row>
    <row r="346" spans="1:2" x14ac:dyDescent="0.2">
      <c r="A346" s="6">
        <v>1</v>
      </c>
      <c r="B346" s="8" t="s">
        <v>6</v>
      </c>
    </row>
    <row r="347" spans="1:2" x14ac:dyDescent="0.2">
      <c r="A347" s="6">
        <v>0</v>
      </c>
      <c r="B347" s="8" t="s">
        <v>2</v>
      </c>
    </row>
    <row r="348" spans="1:2" x14ac:dyDescent="0.2">
      <c r="A348" s="6">
        <v>1</v>
      </c>
      <c r="B348" s="8" t="s">
        <v>5</v>
      </c>
    </row>
    <row r="349" spans="1:2" x14ac:dyDescent="0.2">
      <c r="A349" s="6">
        <v>0</v>
      </c>
      <c r="B349" s="8" t="s">
        <v>6</v>
      </c>
    </row>
    <row r="350" spans="1:2" x14ac:dyDescent="0.2">
      <c r="A350" s="6">
        <v>1</v>
      </c>
      <c r="B350" s="8" t="s">
        <v>2</v>
      </c>
    </row>
    <row r="351" spans="1:2" x14ac:dyDescent="0.2">
      <c r="A351" s="6">
        <v>0</v>
      </c>
      <c r="B351" s="8" t="s">
        <v>2</v>
      </c>
    </row>
    <row r="352" spans="1:2" x14ac:dyDescent="0.2">
      <c r="A352" s="6">
        <v>1</v>
      </c>
      <c r="B352" s="8" t="s">
        <v>2</v>
      </c>
    </row>
    <row r="353" spans="1:2" x14ac:dyDescent="0.2">
      <c r="A353" s="6">
        <v>0</v>
      </c>
      <c r="B353" s="8" t="s">
        <v>6</v>
      </c>
    </row>
    <row r="354" spans="1:2" x14ac:dyDescent="0.2">
      <c r="A354" s="6">
        <v>0</v>
      </c>
      <c r="B354" s="8" t="s">
        <v>5</v>
      </c>
    </row>
    <row r="355" spans="1:2" x14ac:dyDescent="0.2">
      <c r="A355" s="6">
        <v>0</v>
      </c>
      <c r="B355" s="8" t="s">
        <v>2</v>
      </c>
    </row>
    <row r="356" spans="1:2" x14ac:dyDescent="0.2">
      <c r="A356" s="6">
        <v>1</v>
      </c>
      <c r="B356" s="8" t="s">
        <v>2</v>
      </c>
    </row>
    <row r="357" spans="1:2" x14ac:dyDescent="0.2">
      <c r="A357" s="6">
        <v>1</v>
      </c>
      <c r="B357" s="8" t="s">
        <v>2</v>
      </c>
    </row>
    <row r="358" spans="1:2" x14ac:dyDescent="0.2">
      <c r="A358" s="6">
        <v>1</v>
      </c>
      <c r="B358" s="8" t="s">
        <v>2</v>
      </c>
    </row>
    <row r="359" spans="1:2" x14ac:dyDescent="0.2">
      <c r="A359" s="6">
        <v>1</v>
      </c>
      <c r="B359" s="8" t="s">
        <v>2</v>
      </c>
    </row>
    <row r="360" spans="1:2" x14ac:dyDescent="0.2">
      <c r="A360" s="6">
        <v>0</v>
      </c>
      <c r="B360" s="8" t="s">
        <v>5</v>
      </c>
    </row>
    <row r="361" spans="1:2" x14ac:dyDescent="0.2">
      <c r="A361" s="6">
        <v>0</v>
      </c>
      <c r="B361" s="8" t="s">
        <v>5</v>
      </c>
    </row>
    <row r="362" spans="1:2" x14ac:dyDescent="0.2">
      <c r="A362" s="6">
        <v>0</v>
      </c>
      <c r="B362" s="8" t="s">
        <v>2</v>
      </c>
    </row>
    <row r="363" spans="1:2" x14ac:dyDescent="0.2">
      <c r="A363" s="6">
        <v>0</v>
      </c>
      <c r="B363" s="8" t="s">
        <v>6</v>
      </c>
    </row>
    <row r="364" spans="1:2" x14ac:dyDescent="0.2">
      <c r="A364" s="6">
        <v>0</v>
      </c>
      <c r="B364" s="8" t="s">
        <v>5</v>
      </c>
    </row>
    <row r="365" spans="1:2" x14ac:dyDescent="0.2">
      <c r="A365" s="6">
        <v>0</v>
      </c>
      <c r="B365" s="8" t="s">
        <v>6</v>
      </c>
    </row>
    <row r="366" spans="1:2" x14ac:dyDescent="0.2">
      <c r="A366" s="6">
        <v>0</v>
      </c>
      <c r="B366" s="8" t="s">
        <v>5</v>
      </c>
    </row>
    <row r="367" spans="1:2" x14ac:dyDescent="0.2">
      <c r="A367" s="6">
        <v>0</v>
      </c>
      <c r="B367" s="8" t="s">
        <v>2</v>
      </c>
    </row>
    <row r="368" spans="1:2" x14ac:dyDescent="0.2">
      <c r="A368" s="6">
        <v>0</v>
      </c>
      <c r="B368" s="8" t="s">
        <v>5</v>
      </c>
    </row>
    <row r="369" spans="1:2" x14ac:dyDescent="0.2">
      <c r="A369" s="6">
        <v>0</v>
      </c>
      <c r="B369" s="8" t="s">
        <v>2</v>
      </c>
    </row>
    <row r="370" spans="1:2" x14ac:dyDescent="0.2">
      <c r="A370" s="6">
        <v>1</v>
      </c>
      <c r="B370" s="8" t="s">
        <v>5</v>
      </c>
    </row>
    <row r="371" spans="1:2" x14ac:dyDescent="0.2">
      <c r="A371" s="6">
        <v>1</v>
      </c>
      <c r="B371" s="8" t="s">
        <v>2</v>
      </c>
    </row>
    <row r="372" spans="1:2" x14ac:dyDescent="0.2">
      <c r="A372" s="6">
        <v>1</v>
      </c>
      <c r="B372" s="8" t="s">
        <v>2</v>
      </c>
    </row>
    <row r="373" spans="1:2" x14ac:dyDescent="0.2">
      <c r="A373" s="6">
        <v>0</v>
      </c>
      <c r="B373" s="8" t="s">
        <v>2</v>
      </c>
    </row>
    <row r="374" spans="1:2" x14ac:dyDescent="0.2">
      <c r="A374" s="6">
        <v>0</v>
      </c>
      <c r="B374" s="8" t="s">
        <v>2</v>
      </c>
    </row>
    <row r="375" spans="1:2" x14ac:dyDescent="0.2">
      <c r="A375" s="6">
        <v>1</v>
      </c>
      <c r="B375" s="8" t="s">
        <v>6</v>
      </c>
    </row>
    <row r="376" spans="1:2" x14ac:dyDescent="0.2">
      <c r="A376" s="6">
        <v>0</v>
      </c>
      <c r="B376" s="8" t="s">
        <v>2</v>
      </c>
    </row>
    <row r="377" spans="1:2" x14ac:dyDescent="0.2">
      <c r="A377" s="6">
        <v>0</v>
      </c>
      <c r="B377" s="8" t="s">
        <v>6</v>
      </c>
    </row>
    <row r="378" spans="1:2" x14ac:dyDescent="0.2">
      <c r="A378" s="6">
        <v>0</v>
      </c>
      <c r="B378" s="8" t="s">
        <v>6</v>
      </c>
    </row>
    <row r="379" spans="1:2" x14ac:dyDescent="0.2">
      <c r="A379" s="6">
        <v>0</v>
      </c>
      <c r="B379" s="8" t="s">
        <v>2</v>
      </c>
    </row>
    <row r="380" spans="1:2" x14ac:dyDescent="0.2">
      <c r="A380" s="6">
        <v>0</v>
      </c>
      <c r="B380" s="8" t="s">
        <v>6</v>
      </c>
    </row>
    <row r="381" spans="1:2" x14ac:dyDescent="0.2">
      <c r="A381" s="6">
        <v>0</v>
      </c>
      <c r="B381" s="8" t="s">
        <v>5</v>
      </c>
    </row>
    <row r="382" spans="1:2" x14ac:dyDescent="0.2">
      <c r="A382" s="6">
        <v>0</v>
      </c>
      <c r="B382" s="8" t="s">
        <v>2</v>
      </c>
    </row>
    <row r="383" spans="1:2" x14ac:dyDescent="0.2">
      <c r="A383" s="6">
        <v>0</v>
      </c>
      <c r="B383" s="8" t="s">
        <v>6</v>
      </c>
    </row>
    <row r="384" spans="1:2" x14ac:dyDescent="0.2">
      <c r="A384" s="6">
        <v>0</v>
      </c>
      <c r="B384" s="8" t="s">
        <v>2</v>
      </c>
    </row>
    <row r="385" spans="1:2" x14ac:dyDescent="0.2">
      <c r="A385" s="6">
        <v>1</v>
      </c>
      <c r="B385" s="8" t="s">
        <v>2</v>
      </c>
    </row>
    <row r="386" spans="1:2" x14ac:dyDescent="0.2">
      <c r="A386" s="6">
        <v>0</v>
      </c>
      <c r="B386" s="8" t="s">
        <v>2</v>
      </c>
    </row>
    <row r="387" spans="1:2" x14ac:dyDescent="0.2">
      <c r="A387" s="6">
        <v>0</v>
      </c>
      <c r="B387" s="8" t="s">
        <v>6</v>
      </c>
    </row>
    <row r="388" spans="1:2" x14ac:dyDescent="0.2">
      <c r="A388" s="6">
        <v>1</v>
      </c>
      <c r="B388" s="8" t="s">
        <v>5</v>
      </c>
    </row>
    <row r="389" spans="1:2" x14ac:dyDescent="0.2">
      <c r="A389" s="6">
        <v>0</v>
      </c>
      <c r="B389" s="8" t="s">
        <v>5</v>
      </c>
    </row>
    <row r="390" spans="1:2" x14ac:dyDescent="0.2">
      <c r="A390" s="6">
        <v>0</v>
      </c>
      <c r="B390" s="8" t="s">
        <v>6</v>
      </c>
    </row>
    <row r="391" spans="1:2" x14ac:dyDescent="0.2">
      <c r="A391" s="6">
        <v>0</v>
      </c>
      <c r="B391" s="8" t="s">
        <v>2</v>
      </c>
    </row>
    <row r="392" spans="1:2" x14ac:dyDescent="0.2">
      <c r="A392" s="6">
        <v>0</v>
      </c>
      <c r="B392" s="8" t="s">
        <v>6</v>
      </c>
    </row>
    <row r="393" spans="1:2" x14ac:dyDescent="0.2">
      <c r="A393" s="6">
        <v>0</v>
      </c>
      <c r="B393" s="8" t="s">
        <v>6</v>
      </c>
    </row>
    <row r="394" spans="1:2" x14ac:dyDescent="0.2">
      <c r="A394" s="6">
        <v>1</v>
      </c>
      <c r="B394" s="8" t="s">
        <v>6</v>
      </c>
    </row>
    <row r="395" spans="1:2" x14ac:dyDescent="0.2">
      <c r="A395" s="6">
        <v>0</v>
      </c>
      <c r="B395" s="8" t="s">
        <v>2</v>
      </c>
    </row>
    <row r="396" spans="1:2" x14ac:dyDescent="0.2">
      <c r="A396" s="6">
        <v>0</v>
      </c>
      <c r="B396" s="8" t="s">
        <v>6</v>
      </c>
    </row>
    <row r="397" spans="1:2" x14ac:dyDescent="0.2">
      <c r="A397" s="6">
        <v>0</v>
      </c>
      <c r="B397" s="8" t="s">
        <v>2</v>
      </c>
    </row>
    <row r="398" spans="1:2" x14ac:dyDescent="0.2">
      <c r="A398" s="6">
        <v>0</v>
      </c>
      <c r="B398" s="8" t="s">
        <v>6</v>
      </c>
    </row>
    <row r="399" spans="1:2" x14ac:dyDescent="0.2">
      <c r="A399" s="6">
        <v>0</v>
      </c>
      <c r="B399" s="8" t="s">
        <v>5</v>
      </c>
    </row>
    <row r="400" spans="1:2" x14ac:dyDescent="0.2">
      <c r="A400" s="6">
        <v>0</v>
      </c>
      <c r="B400" s="8" t="s">
        <v>6</v>
      </c>
    </row>
    <row r="401" spans="1:2" x14ac:dyDescent="0.2">
      <c r="A401" s="6">
        <v>0</v>
      </c>
      <c r="B401" s="8" t="s">
        <v>6</v>
      </c>
    </row>
    <row r="402" spans="1:2" x14ac:dyDescent="0.2">
      <c r="A402" s="6">
        <v>0</v>
      </c>
      <c r="B402" s="8" t="s">
        <v>5</v>
      </c>
    </row>
    <row r="403" spans="1:2" x14ac:dyDescent="0.2">
      <c r="A403" s="6">
        <v>0</v>
      </c>
      <c r="B403" s="8" t="s">
        <v>2</v>
      </c>
    </row>
    <row r="404" spans="1:2" x14ac:dyDescent="0.2">
      <c r="A404" s="6">
        <v>0</v>
      </c>
      <c r="B404" s="8" t="s">
        <v>2</v>
      </c>
    </row>
    <row r="405" spans="1:2" x14ac:dyDescent="0.2">
      <c r="A405" s="6">
        <v>1</v>
      </c>
      <c r="B405" s="8" t="s">
        <v>6</v>
      </c>
    </row>
    <row r="406" spans="1:2" x14ac:dyDescent="0.2">
      <c r="A406" s="6">
        <v>0</v>
      </c>
      <c r="B406" s="8" t="s">
        <v>5</v>
      </c>
    </row>
    <row r="407" spans="1:2" x14ac:dyDescent="0.2">
      <c r="A407" s="6">
        <v>0</v>
      </c>
      <c r="B407" s="8" t="s">
        <v>2</v>
      </c>
    </row>
    <row r="408" spans="1:2" x14ac:dyDescent="0.2">
      <c r="A408" s="6">
        <v>0</v>
      </c>
      <c r="B408" s="8" t="s">
        <v>6</v>
      </c>
    </row>
    <row r="409" spans="1:2" x14ac:dyDescent="0.2">
      <c r="A409" s="6">
        <v>0</v>
      </c>
      <c r="B409" s="8" t="s">
        <v>5</v>
      </c>
    </row>
    <row r="410" spans="1:2" x14ac:dyDescent="0.2">
      <c r="A410" s="6">
        <v>0</v>
      </c>
      <c r="B410" s="8" t="s">
        <v>2</v>
      </c>
    </row>
    <row r="411" spans="1:2" x14ac:dyDescent="0.2">
      <c r="A411" s="6">
        <v>0</v>
      </c>
      <c r="B411" s="8" t="s">
        <v>2</v>
      </c>
    </row>
    <row r="412" spans="1:2" x14ac:dyDescent="0.2">
      <c r="A412" s="6">
        <v>1</v>
      </c>
      <c r="B412" s="8" t="s">
        <v>5</v>
      </c>
    </row>
    <row r="413" spans="1:2" x14ac:dyDescent="0.2">
      <c r="A413" s="6">
        <v>1</v>
      </c>
      <c r="B413" s="8" t="s">
        <v>5</v>
      </c>
    </row>
    <row r="414" spans="1:2" x14ac:dyDescent="0.2">
      <c r="A414" s="6">
        <v>0</v>
      </c>
      <c r="B414" s="8" t="s">
        <v>5</v>
      </c>
    </row>
    <row r="415" spans="1:2" x14ac:dyDescent="0.2">
      <c r="A415" s="6">
        <v>0</v>
      </c>
      <c r="B415" s="8" t="s">
        <v>5</v>
      </c>
    </row>
    <row r="416" spans="1:2" x14ac:dyDescent="0.2">
      <c r="A416" s="6">
        <v>1</v>
      </c>
      <c r="B416" s="8" t="s">
        <v>6</v>
      </c>
    </row>
    <row r="417" spans="1:2" x14ac:dyDescent="0.2">
      <c r="A417" s="6">
        <v>1</v>
      </c>
      <c r="B417" s="8" t="s">
        <v>5</v>
      </c>
    </row>
    <row r="418" spans="1:2" x14ac:dyDescent="0.2">
      <c r="A418" s="6">
        <v>1</v>
      </c>
      <c r="B418" s="8" t="s">
        <v>2</v>
      </c>
    </row>
    <row r="419" spans="1:2" x14ac:dyDescent="0.2">
      <c r="A419" s="6">
        <v>0</v>
      </c>
      <c r="B419" s="8" t="s">
        <v>2</v>
      </c>
    </row>
    <row r="420" spans="1:2" x14ac:dyDescent="0.2">
      <c r="A420" s="6">
        <v>0</v>
      </c>
      <c r="B420" s="8" t="s">
        <v>6</v>
      </c>
    </row>
    <row r="421" spans="1:2" x14ac:dyDescent="0.2">
      <c r="A421" s="6">
        <v>0</v>
      </c>
      <c r="B421" s="8" t="s">
        <v>2</v>
      </c>
    </row>
    <row r="422" spans="1:2" x14ac:dyDescent="0.2">
      <c r="A422" s="6">
        <v>0</v>
      </c>
      <c r="B422" s="8" t="s">
        <v>2</v>
      </c>
    </row>
    <row r="423" spans="1:2" x14ac:dyDescent="0.2">
      <c r="A423" s="6">
        <v>0</v>
      </c>
      <c r="B423" s="8" t="s">
        <v>5</v>
      </c>
    </row>
    <row r="424" spans="1:2" x14ac:dyDescent="0.2">
      <c r="A424" s="6">
        <v>0</v>
      </c>
      <c r="B424" s="8" t="s">
        <v>2</v>
      </c>
    </row>
    <row r="425" spans="1:2" x14ac:dyDescent="0.2">
      <c r="A425" s="6">
        <v>1</v>
      </c>
      <c r="B425" s="8" t="s">
        <v>6</v>
      </c>
    </row>
    <row r="426" spans="1:2" x14ac:dyDescent="0.2">
      <c r="A426" s="6">
        <v>0</v>
      </c>
      <c r="B426" s="8" t="s">
        <v>5</v>
      </c>
    </row>
    <row r="427" spans="1:2" x14ac:dyDescent="0.2">
      <c r="A427" s="6">
        <v>1</v>
      </c>
      <c r="B427" s="8" t="s">
        <v>5</v>
      </c>
    </row>
    <row r="428" spans="1:2" x14ac:dyDescent="0.2">
      <c r="A428" s="6">
        <v>0</v>
      </c>
      <c r="B428" s="8" t="s">
        <v>6</v>
      </c>
    </row>
    <row r="429" spans="1:2" x14ac:dyDescent="0.2">
      <c r="A429" s="6">
        <v>0</v>
      </c>
      <c r="B429" s="8" t="s">
        <v>5</v>
      </c>
    </row>
    <row r="430" spans="1:2" x14ac:dyDescent="0.2">
      <c r="A430" s="6">
        <v>0</v>
      </c>
      <c r="B430" s="8" t="s">
        <v>5</v>
      </c>
    </row>
    <row r="431" spans="1:2" x14ac:dyDescent="0.2">
      <c r="A431" s="6">
        <v>1</v>
      </c>
      <c r="B431" s="8" t="s">
        <v>6</v>
      </c>
    </row>
    <row r="432" spans="1:2" x14ac:dyDescent="0.2">
      <c r="A432" s="6">
        <v>0</v>
      </c>
      <c r="B432" s="8" t="s">
        <v>5</v>
      </c>
    </row>
    <row r="433" spans="1:2" x14ac:dyDescent="0.2">
      <c r="A433" s="6">
        <v>0</v>
      </c>
      <c r="B433" s="8" t="s">
        <v>6</v>
      </c>
    </row>
    <row r="434" spans="1:2" x14ac:dyDescent="0.2">
      <c r="A434" s="6">
        <v>1</v>
      </c>
      <c r="B434" s="8" t="s">
        <v>6</v>
      </c>
    </row>
    <row r="435" spans="1:2" x14ac:dyDescent="0.2">
      <c r="A435" s="6">
        <v>0</v>
      </c>
      <c r="B435" s="8" t="s">
        <v>2</v>
      </c>
    </row>
    <row r="436" spans="1:2" x14ac:dyDescent="0.2">
      <c r="A436" s="6">
        <v>0</v>
      </c>
      <c r="B436" s="8" t="s">
        <v>2</v>
      </c>
    </row>
    <row r="437" spans="1:2" x14ac:dyDescent="0.2">
      <c r="A437" s="6">
        <v>0</v>
      </c>
      <c r="B437" s="8" t="s">
        <v>5</v>
      </c>
    </row>
    <row r="438" spans="1:2" x14ac:dyDescent="0.2">
      <c r="A438" s="6">
        <v>0</v>
      </c>
      <c r="B438" s="8" t="s">
        <v>5</v>
      </c>
    </row>
    <row r="439" spans="1:2" x14ac:dyDescent="0.2">
      <c r="A439" s="6">
        <v>0</v>
      </c>
      <c r="B439" s="8" t="s">
        <v>6</v>
      </c>
    </row>
    <row r="440" spans="1:2" x14ac:dyDescent="0.2">
      <c r="A440" s="6">
        <v>0</v>
      </c>
      <c r="B440" s="8" t="s">
        <v>5</v>
      </c>
    </row>
    <row r="441" spans="1:2" x14ac:dyDescent="0.2">
      <c r="A441" s="6">
        <v>0</v>
      </c>
      <c r="B441" s="8" t="s">
        <v>6</v>
      </c>
    </row>
    <row r="442" spans="1:2" x14ac:dyDescent="0.2">
      <c r="A442" s="6">
        <v>0</v>
      </c>
      <c r="B442" s="8" t="s">
        <v>6</v>
      </c>
    </row>
    <row r="443" spans="1:2" x14ac:dyDescent="0.2">
      <c r="A443" s="6">
        <v>0</v>
      </c>
      <c r="B443" s="8" t="s">
        <v>5</v>
      </c>
    </row>
    <row r="444" spans="1:2" x14ac:dyDescent="0.2">
      <c r="A444" s="6">
        <v>0</v>
      </c>
      <c r="B444" s="8" t="s">
        <v>6</v>
      </c>
    </row>
    <row r="445" spans="1:2" x14ac:dyDescent="0.2">
      <c r="A445" s="6">
        <v>0</v>
      </c>
      <c r="B445" s="8" t="s">
        <v>2</v>
      </c>
    </row>
    <row r="446" spans="1:2" x14ac:dyDescent="0.2">
      <c r="A446" s="6">
        <v>0</v>
      </c>
      <c r="B446" s="8" t="s">
        <v>5</v>
      </c>
    </row>
    <row r="447" spans="1:2" x14ac:dyDescent="0.2">
      <c r="A447" s="6">
        <v>0</v>
      </c>
      <c r="B447" s="8" t="s">
        <v>2</v>
      </c>
    </row>
    <row r="448" spans="1:2" x14ac:dyDescent="0.2">
      <c r="A448" s="6">
        <v>0</v>
      </c>
      <c r="B448" s="8" t="s">
        <v>5</v>
      </c>
    </row>
    <row r="449" spans="1:2" x14ac:dyDescent="0.2">
      <c r="A449" s="6">
        <v>0</v>
      </c>
      <c r="B449" s="8" t="s">
        <v>6</v>
      </c>
    </row>
    <row r="450" spans="1:2" x14ac:dyDescent="0.2">
      <c r="A450" s="6">
        <v>1</v>
      </c>
      <c r="B450" s="8" t="s">
        <v>5</v>
      </c>
    </row>
    <row r="451" spans="1:2" x14ac:dyDescent="0.2">
      <c r="A451" s="6">
        <v>0</v>
      </c>
      <c r="B451" s="8" t="s">
        <v>2</v>
      </c>
    </row>
    <row r="452" spans="1:2" x14ac:dyDescent="0.2">
      <c r="A452" s="6">
        <v>1</v>
      </c>
      <c r="B452" s="8" t="s">
        <v>6</v>
      </c>
    </row>
    <row r="453" spans="1:2" x14ac:dyDescent="0.2">
      <c r="A453" s="6">
        <v>1</v>
      </c>
      <c r="B453" s="8" t="s">
        <v>5</v>
      </c>
    </row>
    <row r="454" spans="1:2" x14ac:dyDescent="0.2">
      <c r="A454" s="6">
        <v>0</v>
      </c>
      <c r="B454" s="8" t="s">
        <v>5</v>
      </c>
    </row>
    <row r="455" spans="1:2" x14ac:dyDescent="0.2">
      <c r="A455" s="6">
        <v>0</v>
      </c>
      <c r="B455" s="8" t="s">
        <v>5</v>
      </c>
    </row>
    <row r="456" spans="1:2" x14ac:dyDescent="0.2">
      <c r="A456" s="6">
        <v>0</v>
      </c>
      <c r="B456" s="8" t="s">
        <v>2</v>
      </c>
    </row>
    <row r="457" spans="1:2" x14ac:dyDescent="0.2">
      <c r="A457" s="6">
        <v>1</v>
      </c>
      <c r="B457" s="8" t="s">
        <v>2</v>
      </c>
    </row>
    <row r="458" spans="1:2" x14ac:dyDescent="0.2">
      <c r="A458" s="6">
        <v>0</v>
      </c>
      <c r="B458" s="8" t="s">
        <v>5</v>
      </c>
    </row>
    <row r="459" spans="1:2" x14ac:dyDescent="0.2">
      <c r="A459" s="6">
        <v>0</v>
      </c>
      <c r="B459" s="8" t="s">
        <v>6</v>
      </c>
    </row>
    <row r="460" spans="1:2" x14ac:dyDescent="0.2">
      <c r="A460" s="6">
        <v>0</v>
      </c>
      <c r="B460" s="8" t="s">
        <v>6</v>
      </c>
    </row>
    <row r="461" spans="1:2" x14ac:dyDescent="0.2">
      <c r="A461" s="6">
        <v>1</v>
      </c>
      <c r="B461" s="8" t="s">
        <v>2</v>
      </c>
    </row>
    <row r="462" spans="1:2" x14ac:dyDescent="0.2">
      <c r="A462" s="6">
        <v>1</v>
      </c>
      <c r="B462" s="8" t="s">
        <v>6</v>
      </c>
    </row>
    <row r="463" spans="1:2" x14ac:dyDescent="0.2">
      <c r="A463" s="6">
        <v>0</v>
      </c>
      <c r="B463" s="8" t="s">
        <v>2</v>
      </c>
    </row>
    <row r="464" spans="1:2" x14ac:dyDescent="0.2">
      <c r="A464" s="6">
        <v>0</v>
      </c>
      <c r="B464" s="8" t="s">
        <v>5</v>
      </c>
    </row>
    <row r="465" spans="1:2" x14ac:dyDescent="0.2">
      <c r="A465" s="6">
        <v>0</v>
      </c>
      <c r="B465" s="8" t="s">
        <v>2</v>
      </c>
    </row>
    <row r="466" spans="1:2" x14ac:dyDescent="0.2">
      <c r="A466" s="6">
        <v>0</v>
      </c>
      <c r="B466" s="8" t="s">
        <v>2</v>
      </c>
    </row>
    <row r="467" spans="1:2" x14ac:dyDescent="0.2">
      <c r="A467" s="6">
        <v>1</v>
      </c>
      <c r="B467" s="8" t="s">
        <v>5</v>
      </c>
    </row>
    <row r="468" spans="1:2" x14ac:dyDescent="0.2">
      <c r="A468" s="6">
        <v>0</v>
      </c>
      <c r="B468" s="8" t="s">
        <v>6</v>
      </c>
    </row>
    <row r="469" spans="1:2" x14ac:dyDescent="0.2">
      <c r="A469" s="6">
        <v>0</v>
      </c>
      <c r="B469" s="8" t="s">
        <v>2</v>
      </c>
    </row>
    <row r="470" spans="1:2" x14ac:dyDescent="0.2">
      <c r="A470" s="6">
        <v>0</v>
      </c>
      <c r="B470" s="8" t="s">
        <v>2</v>
      </c>
    </row>
    <row r="471" spans="1:2" x14ac:dyDescent="0.2">
      <c r="A471" s="6">
        <v>1</v>
      </c>
      <c r="B471" s="8" t="s">
        <v>5</v>
      </c>
    </row>
    <row r="472" spans="1:2" x14ac:dyDescent="0.2">
      <c r="A472" s="6">
        <v>1</v>
      </c>
      <c r="B472" s="8" t="s">
        <v>6</v>
      </c>
    </row>
    <row r="473" spans="1:2" x14ac:dyDescent="0.2">
      <c r="A473" s="6">
        <v>0</v>
      </c>
      <c r="B473" s="8" t="s">
        <v>2</v>
      </c>
    </row>
    <row r="474" spans="1:2" x14ac:dyDescent="0.2">
      <c r="A474" s="6">
        <v>1</v>
      </c>
      <c r="B474" s="8" t="s">
        <v>5</v>
      </c>
    </row>
    <row r="475" spans="1:2" x14ac:dyDescent="0.2">
      <c r="A475" s="6">
        <v>0</v>
      </c>
      <c r="B475" s="8" t="s">
        <v>2</v>
      </c>
    </row>
    <row r="476" spans="1:2" x14ac:dyDescent="0.2">
      <c r="A476" s="6">
        <v>0</v>
      </c>
      <c r="B476" s="8" t="s">
        <v>5</v>
      </c>
    </row>
    <row r="477" spans="1:2" x14ac:dyDescent="0.2">
      <c r="A477" s="6">
        <v>0</v>
      </c>
      <c r="B477" s="8" t="s">
        <v>6</v>
      </c>
    </row>
    <row r="478" spans="1:2" x14ac:dyDescent="0.2">
      <c r="A478" s="6">
        <v>0</v>
      </c>
      <c r="B478" s="8" t="s">
        <v>6</v>
      </c>
    </row>
    <row r="479" spans="1:2" x14ac:dyDescent="0.2">
      <c r="A479" s="6">
        <v>0</v>
      </c>
      <c r="B479" s="8" t="s">
        <v>6</v>
      </c>
    </row>
    <row r="480" spans="1:2" x14ac:dyDescent="0.2">
      <c r="A480" s="6">
        <v>1</v>
      </c>
      <c r="B480" s="8" t="s">
        <v>6</v>
      </c>
    </row>
    <row r="481" spans="1:2" x14ac:dyDescent="0.2">
      <c r="A481" s="6">
        <v>0</v>
      </c>
      <c r="B481" s="8" t="s">
        <v>2</v>
      </c>
    </row>
    <row r="482" spans="1:2" x14ac:dyDescent="0.2">
      <c r="A482" s="6">
        <v>0</v>
      </c>
      <c r="B482" s="8" t="s">
        <v>2</v>
      </c>
    </row>
    <row r="483" spans="1:2" x14ac:dyDescent="0.2">
      <c r="A483" s="6">
        <v>0</v>
      </c>
      <c r="B483" s="8" t="s">
        <v>6</v>
      </c>
    </row>
    <row r="484" spans="1:2" x14ac:dyDescent="0.2">
      <c r="A484" s="6">
        <v>0</v>
      </c>
      <c r="B484" s="8" t="s">
        <v>6</v>
      </c>
    </row>
    <row r="485" spans="1:2" x14ac:dyDescent="0.2">
      <c r="A485" s="6">
        <v>1</v>
      </c>
      <c r="B485" s="8" t="s">
        <v>6</v>
      </c>
    </row>
    <row r="486" spans="1:2" x14ac:dyDescent="0.2">
      <c r="A486" s="6">
        <v>0</v>
      </c>
      <c r="B486" s="8" t="s">
        <v>2</v>
      </c>
    </row>
    <row r="487" spans="1:2" x14ac:dyDescent="0.2">
      <c r="A487" s="6">
        <v>0</v>
      </c>
      <c r="B487" s="8" t="s">
        <v>6</v>
      </c>
    </row>
    <row r="488" spans="1:2" x14ac:dyDescent="0.2">
      <c r="A488" s="6">
        <v>1</v>
      </c>
      <c r="B488" s="8" t="s">
        <v>6</v>
      </c>
    </row>
    <row r="489" spans="1:2" x14ac:dyDescent="0.2">
      <c r="A489" s="6">
        <v>0</v>
      </c>
      <c r="B489" s="8" t="s">
        <v>6</v>
      </c>
    </row>
    <row r="490" spans="1:2" x14ac:dyDescent="0.2">
      <c r="A490" s="6">
        <v>0</v>
      </c>
      <c r="B490" s="8" t="s">
        <v>5</v>
      </c>
    </row>
    <row r="491" spans="1:2" x14ac:dyDescent="0.2">
      <c r="A491" s="6">
        <v>0</v>
      </c>
      <c r="B491" s="8" t="s">
        <v>6</v>
      </c>
    </row>
    <row r="492" spans="1:2" x14ac:dyDescent="0.2">
      <c r="A492" s="6">
        <v>0</v>
      </c>
      <c r="B492" s="8" t="s">
        <v>5</v>
      </c>
    </row>
    <row r="493" spans="1:2" x14ac:dyDescent="0.2">
      <c r="A493" s="6">
        <v>1</v>
      </c>
      <c r="B493" s="8" t="s">
        <v>5</v>
      </c>
    </row>
    <row r="494" spans="1:2" x14ac:dyDescent="0.2">
      <c r="A494" s="6">
        <v>1</v>
      </c>
      <c r="B494" s="8" t="s">
        <v>6</v>
      </c>
    </row>
    <row r="495" spans="1:2" x14ac:dyDescent="0.2">
      <c r="A495" s="6">
        <v>0</v>
      </c>
      <c r="B495" s="8" t="s">
        <v>5</v>
      </c>
    </row>
    <row r="496" spans="1:2" x14ac:dyDescent="0.2">
      <c r="A496" s="6">
        <v>1</v>
      </c>
      <c r="B496" s="8" t="s">
        <v>6</v>
      </c>
    </row>
    <row r="497" spans="1:2" x14ac:dyDescent="0.2">
      <c r="A497" s="6">
        <v>0</v>
      </c>
      <c r="B497" s="8" t="s">
        <v>2</v>
      </c>
    </row>
    <row r="498" spans="1:2" x14ac:dyDescent="0.2">
      <c r="A498" s="6">
        <v>0</v>
      </c>
      <c r="B498" s="8" t="s">
        <v>2</v>
      </c>
    </row>
    <row r="499" spans="1:2" x14ac:dyDescent="0.2">
      <c r="A499" s="6">
        <v>0</v>
      </c>
      <c r="B499" s="8" t="s">
        <v>2</v>
      </c>
    </row>
    <row r="500" spans="1:2" x14ac:dyDescent="0.2">
      <c r="A500" s="6">
        <v>0</v>
      </c>
      <c r="B500" s="8" t="s">
        <v>2</v>
      </c>
    </row>
    <row r="501" spans="1:2" x14ac:dyDescent="0.2">
      <c r="A501" s="6">
        <v>0</v>
      </c>
      <c r="B501" s="8" t="s">
        <v>5</v>
      </c>
    </row>
  </sheetData>
  <autoFilter ref="A1:B501" xr:uid="{331F9826-B703-49A1-876C-08FB422E52E2}"/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77EA-B252-43EE-B4D9-CFE6141EDC1E}">
  <dimension ref="A1:E5"/>
  <sheetViews>
    <sheetView workbookViewId="0">
      <selection activeCell="L18" sqref="L18:M18"/>
    </sheetView>
  </sheetViews>
  <sheetFormatPr defaultRowHeight="12.75" x14ac:dyDescent="0.2"/>
  <cols>
    <col min="1" max="1" width="18.7109375" bestFit="1" customWidth="1"/>
    <col min="2" max="2" width="20.140625" bestFit="1" customWidth="1"/>
    <col min="3" max="3" width="4" bestFit="1" customWidth="1"/>
    <col min="4" max="4" width="11.140625" bestFit="1" customWidth="1"/>
    <col min="5" max="5" width="9.85546875" customWidth="1"/>
  </cols>
  <sheetData>
    <row r="1" spans="1:5" x14ac:dyDescent="0.2">
      <c r="A1" s="15" t="s">
        <v>36</v>
      </c>
      <c r="B1" s="15" t="s">
        <v>30</v>
      </c>
      <c r="C1" s="15"/>
      <c r="D1" s="15"/>
    </row>
    <row r="2" spans="1:5" x14ac:dyDescent="0.2">
      <c r="A2" s="15" t="s">
        <v>28</v>
      </c>
      <c r="B2" s="15">
        <v>0</v>
      </c>
      <c r="C2" s="15">
        <v>1</v>
      </c>
      <c r="D2" s="15" t="s">
        <v>29</v>
      </c>
    </row>
    <row r="3" spans="1:5" x14ac:dyDescent="0.2">
      <c r="A3" s="33" t="s">
        <v>1</v>
      </c>
      <c r="B3" s="34">
        <v>0</v>
      </c>
      <c r="C3" s="34">
        <v>68</v>
      </c>
      <c r="D3" s="34">
        <v>68</v>
      </c>
      <c r="E3" s="32">
        <f>GETPIVOTDATA("Evasão",$A$1,"Doença_Crônica","No")/GETPIVOTDATA("Evasão",$A$1)</f>
        <v>0.54838709677419351</v>
      </c>
    </row>
    <row r="4" spans="1:5" x14ac:dyDescent="0.2">
      <c r="A4" s="33" t="s">
        <v>4</v>
      </c>
      <c r="B4" s="34">
        <v>0</v>
      </c>
      <c r="C4" s="34">
        <v>56</v>
      </c>
      <c r="D4" s="34">
        <v>56</v>
      </c>
      <c r="E4" s="35">
        <f>GETPIVOTDATA("Evasão",$A$1,"Doença_Crônica","Yes")/GETPIVOTDATA("Evasão",$A$1)</f>
        <v>0.45161290322580644</v>
      </c>
    </row>
    <row r="5" spans="1:5" x14ac:dyDescent="0.2">
      <c r="A5" s="33" t="s">
        <v>29</v>
      </c>
      <c r="B5" s="34">
        <v>0</v>
      </c>
      <c r="C5" s="34">
        <v>124</v>
      </c>
      <c r="D5" s="34">
        <v>124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2C04-4CEE-4A4D-B4C2-088C13A83FBC}">
  <dimension ref="A1:E501"/>
  <sheetViews>
    <sheetView workbookViewId="0">
      <selection activeCell="E1" sqref="E1"/>
    </sheetView>
  </sheetViews>
  <sheetFormatPr defaultRowHeight="12.75" x14ac:dyDescent="0.2"/>
  <cols>
    <col min="1" max="1" width="23.7109375" style="4" customWidth="1"/>
    <col min="2" max="2" width="10.42578125" style="6" customWidth="1"/>
    <col min="3" max="3" width="3.5703125" customWidth="1"/>
    <col min="4" max="4" width="18.7109375" bestFit="1" customWidth="1"/>
    <col min="5" max="5" width="30.85546875" bestFit="1" customWidth="1"/>
    <col min="6" max="6" width="18.7109375" bestFit="1" customWidth="1"/>
    <col min="7" max="7" width="30.85546875" bestFit="1" customWidth="1"/>
  </cols>
  <sheetData>
    <row r="1" spans="1:5" x14ac:dyDescent="0.2">
      <c r="A1" s="3" t="s">
        <v>14</v>
      </c>
      <c r="B1" s="11" t="s">
        <v>17</v>
      </c>
      <c r="D1" s="28" t="s">
        <v>28</v>
      </c>
      <c r="E1" t="s">
        <v>35</v>
      </c>
    </row>
    <row r="2" spans="1:5" x14ac:dyDescent="0.2">
      <c r="A2" s="4">
        <v>2.5</v>
      </c>
      <c r="B2" s="6">
        <v>1</v>
      </c>
      <c r="D2" s="30">
        <v>0</v>
      </c>
      <c r="E2" s="29">
        <v>3.0901595744680859</v>
      </c>
    </row>
    <row r="3" spans="1:5" x14ac:dyDescent="0.2">
      <c r="A3" s="4">
        <v>2.6</v>
      </c>
      <c r="B3" s="6">
        <v>0</v>
      </c>
      <c r="D3" s="30">
        <v>1</v>
      </c>
      <c r="E3" s="29">
        <v>2.9241935483870969</v>
      </c>
    </row>
    <row r="4" spans="1:5" x14ac:dyDescent="0.2">
      <c r="A4" s="4">
        <v>2.8</v>
      </c>
      <c r="B4" s="6">
        <v>0</v>
      </c>
      <c r="D4" s="30" t="s">
        <v>34</v>
      </c>
      <c r="E4" s="29"/>
    </row>
    <row r="5" spans="1:5" x14ac:dyDescent="0.2">
      <c r="A5" s="4">
        <v>4.0999999999999996</v>
      </c>
      <c r="B5" s="6">
        <v>0</v>
      </c>
      <c r="D5" s="30" t="s">
        <v>29</v>
      </c>
      <c r="E5" s="29">
        <v>3.0489999999999995</v>
      </c>
    </row>
    <row r="6" spans="1:5" x14ac:dyDescent="0.2">
      <c r="A6" s="4">
        <v>4.5999999999999996</v>
      </c>
      <c r="B6" s="6">
        <v>0</v>
      </c>
    </row>
    <row r="7" spans="1:5" x14ac:dyDescent="0.2">
      <c r="A7" s="4">
        <v>4.8</v>
      </c>
      <c r="B7" s="6">
        <v>0</v>
      </c>
    </row>
    <row r="8" spans="1:5" x14ac:dyDescent="0.2">
      <c r="A8" s="4">
        <v>4.0999999999999996</v>
      </c>
      <c r="B8" s="6">
        <v>0</v>
      </c>
    </row>
    <row r="9" spans="1:5" x14ac:dyDescent="0.2">
      <c r="A9" s="4">
        <v>2.2999999999999998</v>
      </c>
      <c r="B9" s="6">
        <v>0</v>
      </c>
    </row>
    <row r="10" spans="1:5" x14ac:dyDescent="0.2">
      <c r="A10" s="4">
        <v>3.8</v>
      </c>
      <c r="B10" s="6">
        <v>1</v>
      </c>
    </row>
    <row r="11" spans="1:5" x14ac:dyDescent="0.2">
      <c r="A11" s="4">
        <v>2.8</v>
      </c>
      <c r="B11" s="6">
        <v>0</v>
      </c>
    </row>
    <row r="12" spans="1:5" x14ac:dyDescent="0.2">
      <c r="A12" s="4">
        <v>2</v>
      </c>
      <c r="B12" s="6">
        <v>1</v>
      </c>
    </row>
    <row r="13" spans="1:5" x14ac:dyDescent="0.2">
      <c r="A13" s="4">
        <v>4.4000000000000004</v>
      </c>
      <c r="B13" s="6">
        <v>0</v>
      </c>
    </row>
    <row r="14" spans="1:5" x14ac:dyDescent="0.2">
      <c r="A14" s="4">
        <v>1.2</v>
      </c>
      <c r="B14" s="6">
        <v>0</v>
      </c>
    </row>
    <row r="15" spans="1:5" x14ac:dyDescent="0.2">
      <c r="A15" s="4">
        <v>4.5999999999999996</v>
      </c>
      <c r="B15" s="6">
        <v>0</v>
      </c>
    </row>
    <row r="16" spans="1:5" x14ac:dyDescent="0.2">
      <c r="A16" s="4">
        <v>2.8</v>
      </c>
      <c r="B16" s="6">
        <v>0</v>
      </c>
    </row>
    <row r="17" spans="1:2" x14ac:dyDescent="0.2">
      <c r="A17" s="4">
        <v>3.5</v>
      </c>
      <c r="B17" s="6">
        <v>0</v>
      </c>
    </row>
    <row r="18" spans="1:2" x14ac:dyDescent="0.2">
      <c r="A18" s="4">
        <v>3.6</v>
      </c>
      <c r="B18" s="6">
        <v>0</v>
      </c>
    </row>
    <row r="19" spans="1:2" x14ac:dyDescent="0.2">
      <c r="A19" s="4">
        <v>4.5999999999999996</v>
      </c>
      <c r="B19" s="6">
        <v>0</v>
      </c>
    </row>
    <row r="20" spans="1:2" x14ac:dyDescent="0.2">
      <c r="A20" s="4">
        <v>3.5</v>
      </c>
      <c r="B20" s="6">
        <v>0</v>
      </c>
    </row>
    <row r="21" spans="1:2" x14ac:dyDescent="0.2">
      <c r="A21" s="4">
        <v>3.5</v>
      </c>
      <c r="B21" s="6">
        <v>1</v>
      </c>
    </row>
    <row r="22" spans="1:2" x14ac:dyDescent="0.2">
      <c r="A22" s="4">
        <v>1.3</v>
      </c>
      <c r="B22" s="6">
        <v>1</v>
      </c>
    </row>
    <row r="23" spans="1:2" x14ac:dyDescent="0.2">
      <c r="A23" s="4">
        <v>3.1</v>
      </c>
      <c r="B23" s="6">
        <v>0</v>
      </c>
    </row>
    <row r="24" spans="1:2" x14ac:dyDescent="0.2">
      <c r="A24" s="4">
        <v>1.6</v>
      </c>
      <c r="B24" s="6">
        <v>0</v>
      </c>
    </row>
    <row r="25" spans="1:2" x14ac:dyDescent="0.2">
      <c r="A25" s="4">
        <v>3.9</v>
      </c>
      <c r="B25" s="6">
        <v>0</v>
      </c>
    </row>
    <row r="26" spans="1:2" x14ac:dyDescent="0.2">
      <c r="A26" s="4">
        <v>3</v>
      </c>
      <c r="B26" s="6">
        <v>0</v>
      </c>
    </row>
    <row r="27" spans="1:2" x14ac:dyDescent="0.2">
      <c r="A27" s="4">
        <v>3.7</v>
      </c>
      <c r="B27" s="6">
        <v>0</v>
      </c>
    </row>
    <row r="28" spans="1:2" x14ac:dyDescent="0.2">
      <c r="A28" s="4">
        <v>1.2</v>
      </c>
      <c r="B28" s="6">
        <v>0</v>
      </c>
    </row>
    <row r="29" spans="1:2" x14ac:dyDescent="0.2">
      <c r="A29" s="4">
        <v>1.3</v>
      </c>
      <c r="B29" s="6">
        <v>0</v>
      </c>
    </row>
    <row r="30" spans="1:2" x14ac:dyDescent="0.2">
      <c r="A30" s="4">
        <v>3.9</v>
      </c>
      <c r="B30" s="6">
        <v>0</v>
      </c>
    </row>
    <row r="31" spans="1:2" x14ac:dyDescent="0.2">
      <c r="A31" s="4">
        <v>1.3</v>
      </c>
      <c r="B31" s="6">
        <v>0</v>
      </c>
    </row>
    <row r="32" spans="1:2" x14ac:dyDescent="0.2">
      <c r="A32" s="4">
        <v>1.3</v>
      </c>
      <c r="B32" s="6">
        <v>1</v>
      </c>
    </row>
    <row r="33" spans="1:2" x14ac:dyDescent="0.2">
      <c r="A33" s="4">
        <v>1</v>
      </c>
      <c r="B33" s="6">
        <v>1</v>
      </c>
    </row>
    <row r="34" spans="1:2" x14ac:dyDescent="0.2">
      <c r="A34" s="4">
        <v>4.8</v>
      </c>
      <c r="B34" s="6">
        <v>0</v>
      </c>
    </row>
    <row r="35" spans="1:2" x14ac:dyDescent="0.2">
      <c r="A35" s="4">
        <v>4</v>
      </c>
      <c r="B35" s="6">
        <v>1</v>
      </c>
    </row>
    <row r="36" spans="1:2" x14ac:dyDescent="0.2">
      <c r="A36" s="4">
        <v>2.4</v>
      </c>
      <c r="B36" s="6">
        <v>1</v>
      </c>
    </row>
    <row r="37" spans="1:2" x14ac:dyDescent="0.2">
      <c r="A37" s="4">
        <v>2.2000000000000002</v>
      </c>
      <c r="B37" s="6">
        <v>0</v>
      </c>
    </row>
    <row r="38" spans="1:2" x14ac:dyDescent="0.2">
      <c r="A38" s="4">
        <v>2.4</v>
      </c>
      <c r="B38" s="6">
        <v>0</v>
      </c>
    </row>
    <row r="39" spans="1:2" x14ac:dyDescent="0.2">
      <c r="A39" s="4">
        <v>4.0999999999999996</v>
      </c>
      <c r="B39" s="6">
        <v>0</v>
      </c>
    </row>
    <row r="40" spans="1:2" x14ac:dyDescent="0.2">
      <c r="A40" s="4">
        <v>3.6</v>
      </c>
      <c r="B40" s="6">
        <v>1</v>
      </c>
    </row>
    <row r="41" spans="1:2" x14ac:dyDescent="0.2">
      <c r="A41" s="4">
        <v>1.7</v>
      </c>
      <c r="B41" s="6">
        <v>1</v>
      </c>
    </row>
    <row r="42" spans="1:2" x14ac:dyDescent="0.2">
      <c r="A42" s="4">
        <v>1.7</v>
      </c>
      <c r="B42" s="6">
        <v>0</v>
      </c>
    </row>
    <row r="43" spans="1:2" x14ac:dyDescent="0.2">
      <c r="A43" s="4">
        <v>1.4</v>
      </c>
      <c r="B43" s="6">
        <v>0</v>
      </c>
    </row>
    <row r="44" spans="1:2" x14ac:dyDescent="0.2">
      <c r="A44" s="4">
        <v>3.6</v>
      </c>
      <c r="B44" s="6">
        <v>0</v>
      </c>
    </row>
    <row r="45" spans="1:2" x14ac:dyDescent="0.2">
      <c r="A45" s="4">
        <v>4.0999999999999996</v>
      </c>
      <c r="B45" s="6">
        <v>0</v>
      </c>
    </row>
    <row r="46" spans="1:2" x14ac:dyDescent="0.2">
      <c r="A46" s="4">
        <v>2.1</v>
      </c>
      <c r="B46" s="6">
        <v>0</v>
      </c>
    </row>
    <row r="47" spans="1:2" x14ac:dyDescent="0.2">
      <c r="A47" s="4">
        <v>1.1000000000000001</v>
      </c>
      <c r="B47" s="6">
        <v>1</v>
      </c>
    </row>
    <row r="48" spans="1:2" x14ac:dyDescent="0.2">
      <c r="A48" s="4">
        <v>1.3</v>
      </c>
      <c r="B48" s="6">
        <v>0</v>
      </c>
    </row>
    <row r="49" spans="1:2" x14ac:dyDescent="0.2">
      <c r="A49" s="4">
        <v>4.9000000000000004</v>
      </c>
      <c r="B49" s="6">
        <v>1</v>
      </c>
    </row>
    <row r="50" spans="1:2" x14ac:dyDescent="0.2">
      <c r="A50" s="4">
        <v>2.2000000000000002</v>
      </c>
      <c r="B50" s="6">
        <v>1</v>
      </c>
    </row>
    <row r="51" spans="1:2" x14ac:dyDescent="0.2">
      <c r="A51" s="4">
        <v>4.0999999999999996</v>
      </c>
      <c r="B51" s="6">
        <v>0</v>
      </c>
    </row>
    <row r="52" spans="1:2" x14ac:dyDescent="0.2">
      <c r="A52" s="4">
        <v>3.5</v>
      </c>
      <c r="B52" s="6">
        <v>0</v>
      </c>
    </row>
    <row r="53" spans="1:2" x14ac:dyDescent="0.2">
      <c r="A53" s="4">
        <v>2.5</v>
      </c>
      <c r="B53" s="6">
        <v>0</v>
      </c>
    </row>
    <row r="54" spans="1:2" x14ac:dyDescent="0.2">
      <c r="A54" s="4">
        <v>1.8</v>
      </c>
      <c r="B54" s="6">
        <v>0</v>
      </c>
    </row>
    <row r="55" spans="1:2" x14ac:dyDescent="0.2">
      <c r="A55" s="4">
        <v>1.5</v>
      </c>
      <c r="B55" s="6">
        <v>0</v>
      </c>
    </row>
    <row r="56" spans="1:2" x14ac:dyDescent="0.2">
      <c r="A56" s="4">
        <v>3.5</v>
      </c>
      <c r="B56" s="6">
        <v>0</v>
      </c>
    </row>
    <row r="57" spans="1:2" x14ac:dyDescent="0.2">
      <c r="A57" s="4">
        <v>4.0999999999999996</v>
      </c>
      <c r="B57" s="6">
        <v>0</v>
      </c>
    </row>
    <row r="58" spans="1:2" x14ac:dyDescent="0.2">
      <c r="A58" s="4">
        <v>3.6</v>
      </c>
      <c r="B58" s="6">
        <v>0</v>
      </c>
    </row>
    <row r="59" spans="1:2" x14ac:dyDescent="0.2">
      <c r="A59" s="4">
        <v>3.1</v>
      </c>
      <c r="B59" s="6">
        <v>0</v>
      </c>
    </row>
    <row r="60" spans="1:2" x14ac:dyDescent="0.2">
      <c r="A60" s="4">
        <v>1.2</v>
      </c>
      <c r="B60" s="6">
        <v>0</v>
      </c>
    </row>
    <row r="61" spans="1:2" x14ac:dyDescent="0.2">
      <c r="A61" s="4">
        <v>4.9000000000000004</v>
      </c>
      <c r="B61" s="6">
        <v>0</v>
      </c>
    </row>
    <row r="62" spans="1:2" x14ac:dyDescent="0.2">
      <c r="A62" s="4">
        <v>4.2</v>
      </c>
      <c r="B62" s="6">
        <v>0</v>
      </c>
    </row>
    <row r="63" spans="1:2" x14ac:dyDescent="0.2">
      <c r="A63" s="4">
        <v>2.2000000000000002</v>
      </c>
      <c r="B63" s="6">
        <v>0</v>
      </c>
    </row>
    <row r="64" spans="1:2" x14ac:dyDescent="0.2">
      <c r="A64" s="4">
        <v>4.9000000000000004</v>
      </c>
      <c r="B64" s="6">
        <v>0</v>
      </c>
    </row>
    <row r="65" spans="1:2" x14ac:dyDescent="0.2">
      <c r="A65" s="4">
        <v>3.4</v>
      </c>
      <c r="B65" s="6">
        <v>0</v>
      </c>
    </row>
    <row r="66" spans="1:2" x14ac:dyDescent="0.2">
      <c r="A66" s="4">
        <v>3.3</v>
      </c>
      <c r="B66" s="6">
        <v>0</v>
      </c>
    </row>
    <row r="67" spans="1:2" x14ac:dyDescent="0.2">
      <c r="A67" s="4">
        <v>4</v>
      </c>
      <c r="B67" s="6">
        <v>0</v>
      </c>
    </row>
    <row r="68" spans="1:2" x14ac:dyDescent="0.2">
      <c r="A68" s="4">
        <v>4.2</v>
      </c>
      <c r="B68" s="6">
        <v>0</v>
      </c>
    </row>
    <row r="69" spans="1:2" x14ac:dyDescent="0.2">
      <c r="A69" s="4">
        <v>3.6</v>
      </c>
      <c r="B69" s="6">
        <v>1</v>
      </c>
    </row>
    <row r="70" spans="1:2" x14ac:dyDescent="0.2">
      <c r="A70" s="4">
        <v>1.5</v>
      </c>
      <c r="B70" s="6">
        <v>0</v>
      </c>
    </row>
    <row r="71" spans="1:2" x14ac:dyDescent="0.2">
      <c r="A71" s="4">
        <v>2.4</v>
      </c>
      <c r="B71" s="6">
        <v>0</v>
      </c>
    </row>
    <row r="72" spans="1:2" x14ac:dyDescent="0.2">
      <c r="A72" s="4">
        <v>4.7</v>
      </c>
      <c r="B72" s="6">
        <v>0</v>
      </c>
    </row>
    <row r="73" spans="1:2" x14ac:dyDescent="0.2">
      <c r="A73" s="4">
        <v>1.9</v>
      </c>
      <c r="B73" s="6">
        <v>0</v>
      </c>
    </row>
    <row r="74" spans="1:2" x14ac:dyDescent="0.2">
      <c r="A74" s="4">
        <v>2.5</v>
      </c>
      <c r="B74" s="6">
        <v>0</v>
      </c>
    </row>
    <row r="75" spans="1:2" x14ac:dyDescent="0.2">
      <c r="A75" s="4">
        <v>2.7</v>
      </c>
      <c r="B75" s="6">
        <v>0</v>
      </c>
    </row>
    <row r="76" spans="1:2" x14ac:dyDescent="0.2">
      <c r="A76" s="4">
        <v>2.8</v>
      </c>
      <c r="B76" s="6">
        <v>0</v>
      </c>
    </row>
    <row r="77" spans="1:2" x14ac:dyDescent="0.2">
      <c r="A77" s="4">
        <v>3.5</v>
      </c>
      <c r="B77" s="6">
        <v>0</v>
      </c>
    </row>
    <row r="78" spans="1:2" x14ac:dyDescent="0.2">
      <c r="A78" s="4">
        <v>4.8</v>
      </c>
      <c r="B78" s="6">
        <v>0</v>
      </c>
    </row>
    <row r="79" spans="1:2" x14ac:dyDescent="0.2">
      <c r="A79" s="4">
        <v>2</v>
      </c>
      <c r="B79" s="6">
        <v>0</v>
      </c>
    </row>
    <row r="80" spans="1:2" x14ac:dyDescent="0.2">
      <c r="A80" s="4">
        <v>1.5</v>
      </c>
      <c r="B80" s="6">
        <v>0</v>
      </c>
    </row>
    <row r="81" spans="1:2" x14ac:dyDescent="0.2">
      <c r="A81" s="4">
        <v>1.8</v>
      </c>
      <c r="B81" s="6">
        <v>1</v>
      </c>
    </row>
    <row r="82" spans="1:2" x14ac:dyDescent="0.2">
      <c r="A82" s="4">
        <v>4.5</v>
      </c>
      <c r="B82" s="6">
        <v>0</v>
      </c>
    </row>
    <row r="83" spans="1:2" x14ac:dyDescent="0.2">
      <c r="A83" s="4">
        <v>3.6</v>
      </c>
      <c r="B83" s="6">
        <v>0</v>
      </c>
    </row>
    <row r="84" spans="1:2" x14ac:dyDescent="0.2">
      <c r="A84" s="4">
        <v>2.1</v>
      </c>
      <c r="B84" s="6">
        <v>0</v>
      </c>
    </row>
    <row r="85" spans="1:2" x14ac:dyDescent="0.2">
      <c r="A85" s="4">
        <v>4.3</v>
      </c>
      <c r="B85" s="6">
        <v>0</v>
      </c>
    </row>
    <row r="86" spans="1:2" x14ac:dyDescent="0.2">
      <c r="A86" s="4">
        <v>4.4000000000000004</v>
      </c>
      <c r="B86" s="6">
        <v>0</v>
      </c>
    </row>
    <row r="87" spans="1:2" x14ac:dyDescent="0.2">
      <c r="A87" s="4">
        <v>4.4000000000000004</v>
      </c>
      <c r="B87" s="6">
        <v>0</v>
      </c>
    </row>
    <row r="88" spans="1:2" x14ac:dyDescent="0.2">
      <c r="A88" s="4">
        <v>4.7</v>
      </c>
      <c r="B88" s="6">
        <v>0</v>
      </c>
    </row>
    <row r="89" spans="1:2" x14ac:dyDescent="0.2">
      <c r="A89" s="4">
        <v>2</v>
      </c>
      <c r="B89" s="6">
        <v>0</v>
      </c>
    </row>
    <row r="90" spans="1:2" x14ac:dyDescent="0.2">
      <c r="A90" s="4">
        <v>4</v>
      </c>
      <c r="B90" s="6">
        <v>0</v>
      </c>
    </row>
    <row r="91" spans="1:2" x14ac:dyDescent="0.2">
      <c r="A91" s="4">
        <v>2.8</v>
      </c>
      <c r="B91" s="6">
        <v>0</v>
      </c>
    </row>
    <row r="92" spans="1:2" x14ac:dyDescent="0.2">
      <c r="A92" s="4">
        <v>4.4000000000000004</v>
      </c>
      <c r="B92" s="6">
        <v>1</v>
      </c>
    </row>
    <row r="93" spans="1:2" x14ac:dyDescent="0.2">
      <c r="A93" s="4">
        <v>3.9</v>
      </c>
      <c r="B93" s="6">
        <v>0</v>
      </c>
    </row>
    <row r="94" spans="1:2" x14ac:dyDescent="0.2">
      <c r="A94" s="4">
        <v>4.0999999999999996</v>
      </c>
      <c r="B94" s="6">
        <v>0</v>
      </c>
    </row>
    <row r="95" spans="1:2" x14ac:dyDescent="0.2">
      <c r="A95" s="4">
        <v>3.6</v>
      </c>
      <c r="B95" s="6">
        <v>0</v>
      </c>
    </row>
    <row r="96" spans="1:2" x14ac:dyDescent="0.2">
      <c r="A96" s="4">
        <v>1.7</v>
      </c>
      <c r="B96" s="6">
        <v>0</v>
      </c>
    </row>
    <row r="97" spans="1:2" x14ac:dyDescent="0.2">
      <c r="A97" s="4">
        <v>3.2</v>
      </c>
      <c r="B97" s="6">
        <v>0</v>
      </c>
    </row>
    <row r="98" spans="1:2" x14ac:dyDescent="0.2">
      <c r="A98" s="4">
        <v>4.9000000000000004</v>
      </c>
      <c r="B98" s="6">
        <v>0</v>
      </c>
    </row>
    <row r="99" spans="1:2" x14ac:dyDescent="0.2">
      <c r="A99" s="4">
        <v>4.7</v>
      </c>
      <c r="B99" s="6">
        <v>0</v>
      </c>
    </row>
    <row r="100" spans="1:2" x14ac:dyDescent="0.2">
      <c r="A100" s="4">
        <v>1.2</v>
      </c>
      <c r="B100" s="6">
        <v>0</v>
      </c>
    </row>
    <row r="101" spans="1:2" x14ac:dyDescent="0.2">
      <c r="A101" s="4">
        <v>1.7</v>
      </c>
      <c r="B101" s="6">
        <v>0</v>
      </c>
    </row>
    <row r="102" spans="1:2" x14ac:dyDescent="0.2">
      <c r="A102" s="4">
        <v>1.5</v>
      </c>
      <c r="B102" s="6">
        <v>0</v>
      </c>
    </row>
    <row r="103" spans="1:2" x14ac:dyDescent="0.2">
      <c r="A103" s="4">
        <v>3.9</v>
      </c>
      <c r="B103" s="6">
        <v>1</v>
      </c>
    </row>
    <row r="104" spans="1:2" x14ac:dyDescent="0.2">
      <c r="A104" s="4">
        <v>4.3</v>
      </c>
      <c r="B104" s="6">
        <v>0</v>
      </c>
    </row>
    <row r="105" spans="1:2" x14ac:dyDescent="0.2">
      <c r="A105" s="4">
        <v>1.9</v>
      </c>
      <c r="B105" s="6">
        <v>0</v>
      </c>
    </row>
    <row r="106" spans="1:2" x14ac:dyDescent="0.2">
      <c r="A106" s="4">
        <v>3</v>
      </c>
      <c r="B106" s="6">
        <v>0</v>
      </c>
    </row>
    <row r="107" spans="1:2" x14ac:dyDescent="0.2">
      <c r="A107" s="4">
        <v>4.4000000000000004</v>
      </c>
      <c r="B107" s="6">
        <v>0</v>
      </c>
    </row>
    <row r="108" spans="1:2" x14ac:dyDescent="0.2">
      <c r="A108" s="4">
        <v>3.9</v>
      </c>
      <c r="B108" s="6">
        <v>1</v>
      </c>
    </row>
    <row r="109" spans="1:2" x14ac:dyDescent="0.2">
      <c r="A109" s="4">
        <v>3.2</v>
      </c>
      <c r="B109" s="6">
        <v>0</v>
      </c>
    </row>
    <row r="110" spans="1:2" x14ac:dyDescent="0.2">
      <c r="A110" s="4">
        <v>3.4</v>
      </c>
      <c r="B110" s="6">
        <v>0</v>
      </c>
    </row>
    <row r="111" spans="1:2" x14ac:dyDescent="0.2">
      <c r="A111" s="4">
        <v>3</v>
      </c>
      <c r="B111" s="6">
        <v>0</v>
      </c>
    </row>
    <row r="112" spans="1:2" x14ac:dyDescent="0.2">
      <c r="A112" s="4">
        <v>2.2000000000000002</v>
      </c>
      <c r="B112" s="6">
        <v>0</v>
      </c>
    </row>
    <row r="113" spans="1:2" x14ac:dyDescent="0.2">
      <c r="A113" s="4">
        <v>3.3</v>
      </c>
      <c r="B113" s="6">
        <v>0</v>
      </c>
    </row>
    <row r="114" spans="1:2" x14ac:dyDescent="0.2">
      <c r="A114" s="4">
        <v>3.8</v>
      </c>
      <c r="B114" s="6">
        <v>0</v>
      </c>
    </row>
    <row r="115" spans="1:2" x14ac:dyDescent="0.2">
      <c r="A115" s="4">
        <v>4.5</v>
      </c>
      <c r="B115" s="6">
        <v>0</v>
      </c>
    </row>
    <row r="116" spans="1:2" x14ac:dyDescent="0.2">
      <c r="A116" s="4">
        <v>3.5</v>
      </c>
      <c r="B116" s="6">
        <v>0</v>
      </c>
    </row>
    <row r="117" spans="1:2" x14ac:dyDescent="0.2">
      <c r="A117" s="4">
        <v>4</v>
      </c>
      <c r="B117" s="6">
        <v>0</v>
      </c>
    </row>
    <row r="118" spans="1:2" x14ac:dyDescent="0.2">
      <c r="A118" s="4">
        <v>1.6</v>
      </c>
      <c r="B118" s="6">
        <v>1</v>
      </c>
    </row>
    <row r="119" spans="1:2" x14ac:dyDescent="0.2">
      <c r="A119" s="4">
        <v>2.8</v>
      </c>
      <c r="B119" s="6">
        <v>1</v>
      </c>
    </row>
    <row r="120" spans="1:2" x14ac:dyDescent="0.2">
      <c r="A120" s="4">
        <v>1</v>
      </c>
      <c r="B120" s="6">
        <v>1</v>
      </c>
    </row>
    <row r="121" spans="1:2" x14ac:dyDescent="0.2">
      <c r="A121" s="4">
        <v>2</v>
      </c>
      <c r="B121" s="6">
        <v>0</v>
      </c>
    </row>
    <row r="122" spans="1:2" x14ac:dyDescent="0.2">
      <c r="A122" s="4">
        <v>3.9</v>
      </c>
      <c r="B122" s="6">
        <v>0</v>
      </c>
    </row>
    <row r="123" spans="1:2" x14ac:dyDescent="0.2">
      <c r="A123" s="4">
        <v>5</v>
      </c>
      <c r="B123" s="6">
        <v>1</v>
      </c>
    </row>
    <row r="124" spans="1:2" x14ac:dyDescent="0.2">
      <c r="A124" s="4">
        <v>1.4</v>
      </c>
      <c r="B124" s="6">
        <v>0</v>
      </c>
    </row>
    <row r="125" spans="1:2" x14ac:dyDescent="0.2">
      <c r="A125" s="4">
        <v>2.6</v>
      </c>
      <c r="B125" s="6">
        <v>0</v>
      </c>
    </row>
    <row r="126" spans="1:2" x14ac:dyDescent="0.2">
      <c r="A126" s="4">
        <v>4.2</v>
      </c>
      <c r="B126" s="6">
        <v>1</v>
      </c>
    </row>
    <row r="127" spans="1:2" x14ac:dyDescent="0.2">
      <c r="A127" s="4">
        <v>1.8</v>
      </c>
      <c r="B127" s="6">
        <v>1</v>
      </c>
    </row>
    <row r="128" spans="1:2" x14ac:dyDescent="0.2">
      <c r="A128" s="4">
        <v>3.2</v>
      </c>
      <c r="B128" s="6">
        <v>0</v>
      </c>
    </row>
    <row r="129" spans="1:2" x14ac:dyDescent="0.2">
      <c r="A129" s="4">
        <v>3.9</v>
      </c>
      <c r="B129" s="6">
        <v>0</v>
      </c>
    </row>
    <row r="130" spans="1:2" x14ac:dyDescent="0.2">
      <c r="A130" s="4">
        <v>3.5</v>
      </c>
      <c r="B130" s="6">
        <v>0</v>
      </c>
    </row>
    <row r="131" spans="1:2" x14ac:dyDescent="0.2">
      <c r="A131" s="4">
        <v>1.8</v>
      </c>
      <c r="B131" s="6">
        <v>1</v>
      </c>
    </row>
    <row r="132" spans="1:2" x14ac:dyDescent="0.2">
      <c r="A132" s="4">
        <v>2.4</v>
      </c>
      <c r="B132" s="6">
        <v>1</v>
      </c>
    </row>
    <row r="133" spans="1:2" x14ac:dyDescent="0.2">
      <c r="A133" s="4">
        <v>4.0999999999999996</v>
      </c>
      <c r="B133" s="6">
        <v>0</v>
      </c>
    </row>
    <row r="134" spans="1:2" x14ac:dyDescent="0.2">
      <c r="A134" s="4">
        <v>3.2</v>
      </c>
      <c r="B134" s="6">
        <v>0</v>
      </c>
    </row>
    <row r="135" spans="1:2" x14ac:dyDescent="0.2">
      <c r="A135" s="4">
        <v>1</v>
      </c>
      <c r="B135" s="6">
        <v>1</v>
      </c>
    </row>
    <row r="136" spans="1:2" x14ac:dyDescent="0.2">
      <c r="A136" s="4">
        <v>4</v>
      </c>
      <c r="B136" s="6">
        <v>0</v>
      </c>
    </row>
    <row r="137" spans="1:2" x14ac:dyDescent="0.2">
      <c r="A137" s="4">
        <v>1.1000000000000001</v>
      </c>
      <c r="B137" s="6">
        <v>0</v>
      </c>
    </row>
    <row r="138" spans="1:2" x14ac:dyDescent="0.2">
      <c r="A138" s="4">
        <v>4</v>
      </c>
      <c r="B138" s="6">
        <v>1</v>
      </c>
    </row>
    <row r="139" spans="1:2" x14ac:dyDescent="0.2">
      <c r="A139" s="4">
        <v>1.8</v>
      </c>
      <c r="B139" s="6">
        <v>0</v>
      </c>
    </row>
    <row r="140" spans="1:2" x14ac:dyDescent="0.2">
      <c r="A140" s="4">
        <v>4.8</v>
      </c>
      <c r="B140" s="6">
        <v>0</v>
      </c>
    </row>
    <row r="141" spans="1:2" x14ac:dyDescent="0.2">
      <c r="A141" s="4">
        <v>2.5</v>
      </c>
      <c r="B141" s="6">
        <v>0</v>
      </c>
    </row>
    <row r="142" spans="1:2" x14ac:dyDescent="0.2">
      <c r="A142" s="4">
        <v>2.2999999999999998</v>
      </c>
      <c r="B142" s="6">
        <v>0</v>
      </c>
    </row>
    <row r="143" spans="1:2" x14ac:dyDescent="0.2">
      <c r="A143" s="4">
        <v>1.6</v>
      </c>
      <c r="B143" s="6">
        <v>1</v>
      </c>
    </row>
    <row r="144" spans="1:2" x14ac:dyDescent="0.2">
      <c r="A144" s="4">
        <v>2.2000000000000002</v>
      </c>
      <c r="B144" s="6">
        <v>0</v>
      </c>
    </row>
    <row r="145" spans="1:2" x14ac:dyDescent="0.2">
      <c r="A145" s="4">
        <v>4.5</v>
      </c>
      <c r="B145" s="6">
        <v>1</v>
      </c>
    </row>
    <row r="146" spans="1:2" x14ac:dyDescent="0.2">
      <c r="A146" s="4">
        <v>5</v>
      </c>
      <c r="B146" s="6">
        <v>0</v>
      </c>
    </row>
    <row r="147" spans="1:2" x14ac:dyDescent="0.2">
      <c r="A147" s="4">
        <v>2.5</v>
      </c>
      <c r="B147" s="6">
        <v>0</v>
      </c>
    </row>
    <row r="148" spans="1:2" x14ac:dyDescent="0.2">
      <c r="A148" s="4">
        <v>2.8</v>
      </c>
      <c r="B148" s="6">
        <v>0</v>
      </c>
    </row>
    <row r="149" spans="1:2" x14ac:dyDescent="0.2">
      <c r="A149" s="4">
        <v>3.9</v>
      </c>
      <c r="B149" s="6">
        <v>0</v>
      </c>
    </row>
    <row r="150" spans="1:2" x14ac:dyDescent="0.2">
      <c r="A150" s="4">
        <v>4.5</v>
      </c>
      <c r="B150" s="6">
        <v>0</v>
      </c>
    </row>
    <row r="151" spans="1:2" x14ac:dyDescent="0.2">
      <c r="A151" s="4">
        <v>3.4</v>
      </c>
      <c r="B151" s="6">
        <v>0</v>
      </c>
    </row>
    <row r="152" spans="1:2" x14ac:dyDescent="0.2">
      <c r="A152" s="4">
        <v>2.6</v>
      </c>
      <c r="B152" s="6">
        <v>0</v>
      </c>
    </row>
    <row r="153" spans="1:2" x14ac:dyDescent="0.2">
      <c r="A153" s="4">
        <v>2.7</v>
      </c>
      <c r="B153" s="6">
        <v>0</v>
      </c>
    </row>
    <row r="154" spans="1:2" x14ac:dyDescent="0.2">
      <c r="A154" s="4">
        <v>3.8</v>
      </c>
      <c r="B154" s="6">
        <v>0</v>
      </c>
    </row>
    <row r="155" spans="1:2" x14ac:dyDescent="0.2">
      <c r="A155" s="4">
        <v>1</v>
      </c>
      <c r="B155" s="6">
        <v>0</v>
      </c>
    </row>
    <row r="156" spans="1:2" x14ac:dyDescent="0.2">
      <c r="A156" s="4">
        <v>3.5</v>
      </c>
      <c r="B156" s="6">
        <v>0</v>
      </c>
    </row>
    <row r="157" spans="1:2" x14ac:dyDescent="0.2">
      <c r="A157" s="4">
        <v>2.4</v>
      </c>
      <c r="B157" s="6">
        <v>0</v>
      </c>
    </row>
    <row r="158" spans="1:2" x14ac:dyDescent="0.2">
      <c r="A158" s="4">
        <v>4.2</v>
      </c>
      <c r="B158" s="6">
        <v>0</v>
      </c>
    </row>
    <row r="159" spans="1:2" x14ac:dyDescent="0.2">
      <c r="A159" s="4">
        <v>1.4</v>
      </c>
      <c r="B159" s="6">
        <v>0</v>
      </c>
    </row>
    <row r="160" spans="1:2" x14ac:dyDescent="0.2">
      <c r="A160" s="4">
        <v>3.4</v>
      </c>
      <c r="B160" s="6">
        <v>0</v>
      </c>
    </row>
    <row r="161" spans="1:2" x14ac:dyDescent="0.2">
      <c r="A161" s="4">
        <v>2.9</v>
      </c>
      <c r="B161" s="6">
        <v>0</v>
      </c>
    </row>
    <row r="162" spans="1:2" x14ac:dyDescent="0.2">
      <c r="A162" s="4">
        <v>3.6</v>
      </c>
      <c r="B162" s="6">
        <v>1</v>
      </c>
    </row>
    <row r="163" spans="1:2" x14ac:dyDescent="0.2">
      <c r="A163" s="4">
        <v>1.3</v>
      </c>
      <c r="B163" s="6">
        <v>1</v>
      </c>
    </row>
    <row r="164" spans="1:2" x14ac:dyDescent="0.2">
      <c r="A164" s="4">
        <v>3.3</v>
      </c>
      <c r="B164" s="6">
        <v>0</v>
      </c>
    </row>
    <row r="165" spans="1:2" x14ac:dyDescent="0.2">
      <c r="A165" s="4">
        <v>3.2</v>
      </c>
      <c r="B165" s="6">
        <v>0</v>
      </c>
    </row>
    <row r="166" spans="1:2" x14ac:dyDescent="0.2">
      <c r="A166" s="4">
        <v>3.2</v>
      </c>
      <c r="B166" s="6">
        <v>1</v>
      </c>
    </row>
    <row r="167" spans="1:2" x14ac:dyDescent="0.2">
      <c r="A167" s="4">
        <v>3.4</v>
      </c>
      <c r="B167" s="6">
        <v>0</v>
      </c>
    </row>
    <row r="168" spans="1:2" x14ac:dyDescent="0.2">
      <c r="A168" s="4">
        <v>3.7</v>
      </c>
      <c r="B168" s="6">
        <v>1</v>
      </c>
    </row>
    <row r="169" spans="1:2" x14ac:dyDescent="0.2">
      <c r="A169" s="4">
        <v>4.2</v>
      </c>
      <c r="B169" s="6">
        <v>1</v>
      </c>
    </row>
    <row r="170" spans="1:2" x14ac:dyDescent="0.2">
      <c r="A170" s="4">
        <v>2.1</v>
      </c>
      <c r="B170" s="6">
        <v>1</v>
      </c>
    </row>
    <row r="171" spans="1:2" x14ac:dyDescent="0.2">
      <c r="A171" s="4">
        <v>4.3</v>
      </c>
      <c r="B171" s="6">
        <v>0</v>
      </c>
    </row>
    <row r="172" spans="1:2" x14ac:dyDescent="0.2">
      <c r="A172" s="4">
        <v>3</v>
      </c>
      <c r="B172" s="6">
        <v>0</v>
      </c>
    </row>
    <row r="173" spans="1:2" x14ac:dyDescent="0.2">
      <c r="A173" s="4">
        <v>1.3</v>
      </c>
      <c r="B173" s="6">
        <v>0</v>
      </c>
    </row>
    <row r="174" spans="1:2" x14ac:dyDescent="0.2">
      <c r="A174" s="4">
        <v>1.2</v>
      </c>
      <c r="B174" s="6">
        <v>0</v>
      </c>
    </row>
    <row r="175" spans="1:2" x14ac:dyDescent="0.2">
      <c r="A175" s="4">
        <v>2.2999999999999998</v>
      </c>
      <c r="B175" s="6">
        <v>0</v>
      </c>
    </row>
    <row r="176" spans="1:2" x14ac:dyDescent="0.2">
      <c r="A176" s="4">
        <v>4.0999999999999996</v>
      </c>
      <c r="B176" s="6">
        <v>0</v>
      </c>
    </row>
    <row r="177" spans="1:2" x14ac:dyDescent="0.2">
      <c r="A177" s="4">
        <v>3.8</v>
      </c>
      <c r="B177" s="6">
        <v>0</v>
      </c>
    </row>
    <row r="178" spans="1:2" x14ac:dyDescent="0.2">
      <c r="A178" s="4">
        <v>4.2</v>
      </c>
      <c r="B178" s="6">
        <v>1</v>
      </c>
    </row>
    <row r="179" spans="1:2" x14ac:dyDescent="0.2">
      <c r="A179" s="4">
        <v>3.1</v>
      </c>
      <c r="B179" s="6">
        <v>0</v>
      </c>
    </row>
    <row r="180" spans="1:2" x14ac:dyDescent="0.2">
      <c r="A180" s="4">
        <v>2.8</v>
      </c>
      <c r="B180" s="6">
        <v>1</v>
      </c>
    </row>
    <row r="181" spans="1:2" x14ac:dyDescent="0.2">
      <c r="A181" s="4">
        <v>1.6</v>
      </c>
      <c r="B181" s="6">
        <v>1</v>
      </c>
    </row>
    <row r="182" spans="1:2" x14ac:dyDescent="0.2">
      <c r="A182" s="4">
        <v>2.2999999999999998</v>
      </c>
      <c r="B182" s="6">
        <v>0</v>
      </c>
    </row>
    <row r="183" spans="1:2" x14ac:dyDescent="0.2">
      <c r="A183" s="4">
        <v>2.7</v>
      </c>
      <c r="B183" s="6">
        <v>0</v>
      </c>
    </row>
    <row r="184" spans="1:2" x14ac:dyDescent="0.2">
      <c r="A184" s="4">
        <v>1.4</v>
      </c>
      <c r="B184" s="6">
        <v>1</v>
      </c>
    </row>
    <row r="185" spans="1:2" x14ac:dyDescent="0.2">
      <c r="A185" s="4">
        <v>1.9</v>
      </c>
      <c r="B185" s="6">
        <v>0</v>
      </c>
    </row>
    <row r="186" spans="1:2" x14ac:dyDescent="0.2">
      <c r="A186" s="4">
        <v>3.4</v>
      </c>
      <c r="B186" s="6">
        <v>0</v>
      </c>
    </row>
    <row r="187" spans="1:2" x14ac:dyDescent="0.2">
      <c r="A187" s="4">
        <v>3.9</v>
      </c>
      <c r="B187" s="6">
        <v>0</v>
      </c>
    </row>
    <row r="188" spans="1:2" x14ac:dyDescent="0.2">
      <c r="A188" s="4">
        <v>5</v>
      </c>
      <c r="B188" s="6">
        <v>0</v>
      </c>
    </row>
    <row r="189" spans="1:2" x14ac:dyDescent="0.2">
      <c r="A189" s="4">
        <v>4.7</v>
      </c>
      <c r="B189" s="6">
        <v>0</v>
      </c>
    </row>
    <row r="190" spans="1:2" x14ac:dyDescent="0.2">
      <c r="A190" s="4">
        <v>3.6</v>
      </c>
      <c r="B190" s="6">
        <v>0</v>
      </c>
    </row>
    <row r="191" spans="1:2" x14ac:dyDescent="0.2">
      <c r="A191" s="4">
        <v>2.7</v>
      </c>
      <c r="B191" s="6">
        <v>0</v>
      </c>
    </row>
    <row r="192" spans="1:2" x14ac:dyDescent="0.2">
      <c r="A192" s="4">
        <v>3.5</v>
      </c>
      <c r="B192" s="6">
        <v>0</v>
      </c>
    </row>
    <row r="193" spans="1:2" x14ac:dyDescent="0.2">
      <c r="A193" s="4">
        <v>4.0999999999999996</v>
      </c>
      <c r="B193" s="6">
        <v>0</v>
      </c>
    </row>
    <row r="194" spans="1:2" x14ac:dyDescent="0.2">
      <c r="A194" s="4">
        <v>1.5</v>
      </c>
      <c r="B194" s="6">
        <v>0</v>
      </c>
    </row>
    <row r="195" spans="1:2" x14ac:dyDescent="0.2">
      <c r="A195" s="4">
        <v>2.6</v>
      </c>
      <c r="B195" s="6">
        <v>0</v>
      </c>
    </row>
    <row r="196" spans="1:2" x14ac:dyDescent="0.2">
      <c r="A196" s="4">
        <v>4.4000000000000004</v>
      </c>
      <c r="B196" s="6">
        <v>1</v>
      </c>
    </row>
    <row r="197" spans="1:2" x14ac:dyDescent="0.2">
      <c r="A197" s="4">
        <v>2.5</v>
      </c>
      <c r="B197" s="6">
        <v>0</v>
      </c>
    </row>
    <row r="198" spans="1:2" x14ac:dyDescent="0.2">
      <c r="A198" s="4">
        <v>3.3</v>
      </c>
      <c r="B198" s="6">
        <v>0</v>
      </c>
    </row>
    <row r="199" spans="1:2" x14ac:dyDescent="0.2">
      <c r="A199" s="4">
        <v>3.4</v>
      </c>
      <c r="B199" s="6">
        <v>0</v>
      </c>
    </row>
    <row r="200" spans="1:2" x14ac:dyDescent="0.2">
      <c r="A200" s="4">
        <v>1.7</v>
      </c>
      <c r="B200" s="6">
        <v>0</v>
      </c>
    </row>
    <row r="201" spans="1:2" x14ac:dyDescent="0.2">
      <c r="A201" s="4">
        <v>2.4</v>
      </c>
      <c r="B201" s="6">
        <v>0</v>
      </c>
    </row>
    <row r="202" spans="1:2" x14ac:dyDescent="0.2">
      <c r="A202" s="4">
        <v>2.2999999999999998</v>
      </c>
      <c r="B202" s="6">
        <v>1</v>
      </c>
    </row>
    <row r="203" spans="1:2" x14ac:dyDescent="0.2">
      <c r="A203" s="4">
        <v>1.1000000000000001</v>
      </c>
      <c r="B203" s="6">
        <v>0</v>
      </c>
    </row>
    <row r="204" spans="1:2" x14ac:dyDescent="0.2">
      <c r="A204" s="4">
        <v>1.1000000000000001</v>
      </c>
      <c r="B204" s="6">
        <v>1</v>
      </c>
    </row>
    <row r="205" spans="1:2" x14ac:dyDescent="0.2">
      <c r="A205" s="4">
        <v>4.3</v>
      </c>
      <c r="B205" s="6">
        <v>0</v>
      </c>
    </row>
    <row r="206" spans="1:2" x14ac:dyDescent="0.2">
      <c r="A206" s="4">
        <v>2.1</v>
      </c>
      <c r="B206" s="6">
        <v>0</v>
      </c>
    </row>
    <row r="207" spans="1:2" x14ac:dyDescent="0.2">
      <c r="A207" s="4">
        <v>3.1</v>
      </c>
      <c r="B207" s="6">
        <v>0</v>
      </c>
    </row>
    <row r="208" spans="1:2" x14ac:dyDescent="0.2">
      <c r="A208" s="4">
        <v>2.2000000000000002</v>
      </c>
      <c r="B208" s="6">
        <v>1</v>
      </c>
    </row>
    <row r="209" spans="1:2" x14ac:dyDescent="0.2">
      <c r="A209" s="4">
        <v>4.8</v>
      </c>
      <c r="B209" s="6">
        <v>0</v>
      </c>
    </row>
    <row r="210" spans="1:2" x14ac:dyDescent="0.2">
      <c r="A210" s="4">
        <v>2</v>
      </c>
      <c r="B210" s="6">
        <v>0</v>
      </c>
    </row>
    <row r="211" spans="1:2" x14ac:dyDescent="0.2">
      <c r="A211" s="4">
        <v>2.7</v>
      </c>
      <c r="B211" s="6">
        <v>0</v>
      </c>
    </row>
    <row r="212" spans="1:2" x14ac:dyDescent="0.2">
      <c r="A212" s="4">
        <v>4.5</v>
      </c>
      <c r="B212" s="6">
        <v>0</v>
      </c>
    </row>
    <row r="213" spans="1:2" x14ac:dyDescent="0.2">
      <c r="A213" s="4">
        <v>4.4000000000000004</v>
      </c>
      <c r="B213" s="6">
        <v>0</v>
      </c>
    </row>
    <row r="214" spans="1:2" x14ac:dyDescent="0.2">
      <c r="A214" s="4">
        <v>1.7</v>
      </c>
      <c r="B214" s="6">
        <v>0</v>
      </c>
    </row>
    <row r="215" spans="1:2" x14ac:dyDescent="0.2">
      <c r="A215" s="4">
        <v>4.2</v>
      </c>
      <c r="B215" s="6">
        <v>0</v>
      </c>
    </row>
    <row r="216" spans="1:2" x14ac:dyDescent="0.2">
      <c r="A216" s="4">
        <v>2.8</v>
      </c>
      <c r="B216" s="6">
        <v>0</v>
      </c>
    </row>
    <row r="217" spans="1:2" x14ac:dyDescent="0.2">
      <c r="A217" s="4">
        <v>2.9</v>
      </c>
      <c r="B217" s="6">
        <v>0</v>
      </c>
    </row>
    <row r="218" spans="1:2" x14ac:dyDescent="0.2">
      <c r="A218" s="4">
        <v>1.5</v>
      </c>
      <c r="B218" s="6">
        <v>1</v>
      </c>
    </row>
    <row r="219" spans="1:2" x14ac:dyDescent="0.2">
      <c r="A219" s="4">
        <v>1.3</v>
      </c>
      <c r="B219" s="6">
        <v>1</v>
      </c>
    </row>
    <row r="220" spans="1:2" x14ac:dyDescent="0.2">
      <c r="A220" s="4">
        <v>3.9</v>
      </c>
      <c r="B220" s="6">
        <v>1</v>
      </c>
    </row>
    <row r="221" spans="1:2" x14ac:dyDescent="0.2">
      <c r="A221" s="4">
        <v>3</v>
      </c>
      <c r="B221" s="6">
        <v>0</v>
      </c>
    </row>
    <row r="222" spans="1:2" x14ac:dyDescent="0.2">
      <c r="A222" s="4">
        <v>2.7</v>
      </c>
      <c r="B222" s="6">
        <v>0</v>
      </c>
    </row>
    <row r="223" spans="1:2" x14ac:dyDescent="0.2">
      <c r="A223" s="4">
        <v>3.9</v>
      </c>
      <c r="B223" s="6">
        <v>0</v>
      </c>
    </row>
    <row r="224" spans="1:2" x14ac:dyDescent="0.2">
      <c r="A224" s="4">
        <v>4.0999999999999996</v>
      </c>
      <c r="B224" s="6">
        <v>0</v>
      </c>
    </row>
    <row r="225" spans="1:2" x14ac:dyDescent="0.2">
      <c r="A225" s="4">
        <v>1.6</v>
      </c>
      <c r="B225" s="6">
        <v>0</v>
      </c>
    </row>
    <row r="226" spans="1:2" x14ac:dyDescent="0.2">
      <c r="A226" s="4">
        <v>3.4</v>
      </c>
      <c r="B226" s="6">
        <v>0</v>
      </c>
    </row>
    <row r="227" spans="1:2" x14ac:dyDescent="0.2">
      <c r="A227" s="4">
        <v>1.5</v>
      </c>
      <c r="B227" s="6">
        <v>0</v>
      </c>
    </row>
    <row r="228" spans="1:2" x14ac:dyDescent="0.2">
      <c r="A228" s="4">
        <v>4</v>
      </c>
      <c r="B228" s="6">
        <v>0</v>
      </c>
    </row>
    <row r="229" spans="1:2" x14ac:dyDescent="0.2">
      <c r="A229" s="4">
        <v>3.6</v>
      </c>
      <c r="B229" s="6">
        <v>1</v>
      </c>
    </row>
    <row r="230" spans="1:2" x14ac:dyDescent="0.2">
      <c r="A230" s="4">
        <v>4.8</v>
      </c>
      <c r="B230" s="6">
        <v>0</v>
      </c>
    </row>
    <row r="231" spans="1:2" x14ac:dyDescent="0.2">
      <c r="A231" s="4">
        <v>1.3</v>
      </c>
      <c r="B231" s="6">
        <v>0</v>
      </c>
    </row>
    <row r="232" spans="1:2" x14ac:dyDescent="0.2">
      <c r="A232" s="4">
        <v>1.2</v>
      </c>
      <c r="B232" s="6">
        <v>0</v>
      </c>
    </row>
    <row r="233" spans="1:2" x14ac:dyDescent="0.2">
      <c r="A233" s="4">
        <v>2.1</v>
      </c>
      <c r="B233" s="6">
        <v>0</v>
      </c>
    </row>
    <row r="234" spans="1:2" x14ac:dyDescent="0.2">
      <c r="A234" s="4">
        <v>2</v>
      </c>
      <c r="B234" s="6">
        <v>0</v>
      </c>
    </row>
    <row r="235" spans="1:2" x14ac:dyDescent="0.2">
      <c r="A235" s="4">
        <v>2</v>
      </c>
      <c r="B235" s="6">
        <v>1</v>
      </c>
    </row>
    <row r="236" spans="1:2" x14ac:dyDescent="0.2">
      <c r="A236" s="4">
        <v>4.5999999999999996</v>
      </c>
      <c r="B236" s="6">
        <v>1</v>
      </c>
    </row>
    <row r="237" spans="1:2" x14ac:dyDescent="0.2">
      <c r="A237" s="4">
        <v>2</v>
      </c>
      <c r="B237" s="6">
        <v>0</v>
      </c>
    </row>
    <row r="238" spans="1:2" x14ac:dyDescent="0.2">
      <c r="A238" s="4">
        <v>2.1</v>
      </c>
      <c r="B238" s="6">
        <v>1</v>
      </c>
    </row>
    <row r="239" spans="1:2" x14ac:dyDescent="0.2">
      <c r="A239" s="4">
        <v>4</v>
      </c>
      <c r="B239" s="6">
        <v>1</v>
      </c>
    </row>
    <row r="240" spans="1:2" x14ac:dyDescent="0.2">
      <c r="A240" s="4">
        <v>2.8</v>
      </c>
      <c r="B240" s="6">
        <v>1</v>
      </c>
    </row>
    <row r="241" spans="1:2" x14ac:dyDescent="0.2">
      <c r="A241" s="4">
        <v>4.0999999999999996</v>
      </c>
      <c r="B241" s="6">
        <v>1</v>
      </c>
    </row>
    <row r="242" spans="1:2" x14ac:dyDescent="0.2">
      <c r="A242" s="4">
        <v>1.3</v>
      </c>
      <c r="B242" s="6">
        <v>0</v>
      </c>
    </row>
    <row r="243" spans="1:2" x14ac:dyDescent="0.2">
      <c r="A243" s="4">
        <v>3</v>
      </c>
      <c r="B243" s="6">
        <v>0</v>
      </c>
    </row>
    <row r="244" spans="1:2" x14ac:dyDescent="0.2">
      <c r="A244" s="4">
        <v>1.1000000000000001</v>
      </c>
      <c r="B244" s="6">
        <v>0</v>
      </c>
    </row>
    <row r="245" spans="1:2" x14ac:dyDescent="0.2">
      <c r="A245" s="4">
        <v>1.3</v>
      </c>
      <c r="B245" s="6">
        <v>0</v>
      </c>
    </row>
    <row r="246" spans="1:2" x14ac:dyDescent="0.2">
      <c r="A246" s="4">
        <v>4.5999999999999996</v>
      </c>
      <c r="B246" s="6">
        <v>1</v>
      </c>
    </row>
    <row r="247" spans="1:2" x14ac:dyDescent="0.2">
      <c r="A247" s="4">
        <v>1.6</v>
      </c>
      <c r="B247" s="6">
        <v>0</v>
      </c>
    </row>
    <row r="248" spans="1:2" x14ac:dyDescent="0.2">
      <c r="A248" s="4">
        <v>3.1</v>
      </c>
      <c r="B248" s="6">
        <v>0</v>
      </c>
    </row>
    <row r="249" spans="1:2" x14ac:dyDescent="0.2">
      <c r="A249" s="4">
        <v>2.6</v>
      </c>
      <c r="B249" s="6">
        <v>1</v>
      </c>
    </row>
    <row r="250" spans="1:2" x14ac:dyDescent="0.2">
      <c r="A250" s="4">
        <v>2.4</v>
      </c>
      <c r="B250" s="6">
        <v>1</v>
      </c>
    </row>
    <row r="251" spans="1:2" x14ac:dyDescent="0.2">
      <c r="A251" s="4">
        <v>4.5999999999999996</v>
      </c>
      <c r="B251" s="6">
        <v>1</v>
      </c>
    </row>
    <row r="252" spans="1:2" x14ac:dyDescent="0.2">
      <c r="A252" s="4">
        <v>1.1000000000000001</v>
      </c>
      <c r="B252" s="6">
        <v>0</v>
      </c>
    </row>
    <row r="253" spans="1:2" x14ac:dyDescent="0.2">
      <c r="A253" s="4">
        <v>3.7</v>
      </c>
      <c r="B253" s="6">
        <v>0</v>
      </c>
    </row>
    <row r="254" spans="1:2" x14ac:dyDescent="0.2">
      <c r="A254" s="4">
        <v>4.9000000000000004</v>
      </c>
      <c r="B254" s="6">
        <v>0</v>
      </c>
    </row>
    <row r="255" spans="1:2" x14ac:dyDescent="0.2">
      <c r="A255" s="4">
        <v>3.2</v>
      </c>
      <c r="B255" s="6">
        <v>0</v>
      </c>
    </row>
    <row r="256" spans="1:2" x14ac:dyDescent="0.2">
      <c r="A256" s="4">
        <v>4.7</v>
      </c>
      <c r="B256" s="6">
        <v>0</v>
      </c>
    </row>
    <row r="257" spans="1:2" x14ac:dyDescent="0.2">
      <c r="A257" s="4">
        <v>1.2</v>
      </c>
      <c r="B257" s="6">
        <v>0</v>
      </c>
    </row>
    <row r="258" spans="1:2" x14ac:dyDescent="0.2">
      <c r="A258" s="4">
        <v>2.7</v>
      </c>
      <c r="B258" s="6">
        <v>1</v>
      </c>
    </row>
    <row r="259" spans="1:2" x14ac:dyDescent="0.2">
      <c r="A259" s="4">
        <v>2</v>
      </c>
      <c r="B259" s="6">
        <v>0</v>
      </c>
    </row>
    <row r="260" spans="1:2" x14ac:dyDescent="0.2">
      <c r="A260" s="4">
        <v>3.9</v>
      </c>
      <c r="B260" s="6">
        <v>0</v>
      </c>
    </row>
    <row r="261" spans="1:2" x14ac:dyDescent="0.2">
      <c r="A261" s="4">
        <v>4.9000000000000004</v>
      </c>
      <c r="B261" s="6">
        <v>0</v>
      </c>
    </row>
    <row r="262" spans="1:2" x14ac:dyDescent="0.2">
      <c r="A262" s="4">
        <v>2</v>
      </c>
      <c r="B262" s="6">
        <v>0</v>
      </c>
    </row>
    <row r="263" spans="1:2" x14ac:dyDescent="0.2">
      <c r="A263" s="4">
        <v>3.6</v>
      </c>
      <c r="B263" s="6">
        <v>0</v>
      </c>
    </row>
    <row r="264" spans="1:2" x14ac:dyDescent="0.2">
      <c r="A264" s="4">
        <v>1.8</v>
      </c>
      <c r="B264" s="6">
        <v>1</v>
      </c>
    </row>
    <row r="265" spans="1:2" x14ac:dyDescent="0.2">
      <c r="A265" s="4">
        <v>3.3</v>
      </c>
      <c r="B265" s="6">
        <v>0</v>
      </c>
    </row>
    <row r="266" spans="1:2" x14ac:dyDescent="0.2">
      <c r="A266" s="4">
        <v>2.9</v>
      </c>
      <c r="B266" s="6">
        <v>1</v>
      </c>
    </row>
    <row r="267" spans="1:2" x14ac:dyDescent="0.2">
      <c r="A267" s="4">
        <v>4.9000000000000004</v>
      </c>
      <c r="B267" s="6">
        <v>0</v>
      </c>
    </row>
    <row r="268" spans="1:2" x14ac:dyDescent="0.2">
      <c r="A268" s="4">
        <v>3.4</v>
      </c>
      <c r="B268" s="6">
        <v>1</v>
      </c>
    </row>
    <row r="269" spans="1:2" x14ac:dyDescent="0.2">
      <c r="A269" s="4">
        <v>2.4</v>
      </c>
      <c r="B269" s="6">
        <v>0</v>
      </c>
    </row>
    <row r="270" spans="1:2" x14ac:dyDescent="0.2">
      <c r="A270" s="4">
        <v>1.5</v>
      </c>
      <c r="B270" s="6">
        <v>0</v>
      </c>
    </row>
    <row r="271" spans="1:2" x14ac:dyDescent="0.2">
      <c r="A271" s="4">
        <v>1.6</v>
      </c>
      <c r="B271" s="6">
        <v>0</v>
      </c>
    </row>
    <row r="272" spans="1:2" x14ac:dyDescent="0.2">
      <c r="A272" s="4">
        <v>1.9</v>
      </c>
      <c r="B272" s="6">
        <v>1</v>
      </c>
    </row>
    <row r="273" spans="1:2" x14ac:dyDescent="0.2">
      <c r="A273" s="4">
        <v>2</v>
      </c>
      <c r="B273" s="6">
        <v>0</v>
      </c>
    </row>
    <row r="274" spans="1:2" x14ac:dyDescent="0.2">
      <c r="A274" s="4">
        <v>4.4000000000000004</v>
      </c>
      <c r="B274" s="6">
        <v>0</v>
      </c>
    </row>
    <row r="275" spans="1:2" x14ac:dyDescent="0.2">
      <c r="A275" s="4">
        <v>3.2</v>
      </c>
      <c r="B275" s="6">
        <v>1</v>
      </c>
    </row>
    <row r="276" spans="1:2" x14ac:dyDescent="0.2">
      <c r="A276" s="4">
        <v>3.1</v>
      </c>
      <c r="B276" s="6">
        <v>1</v>
      </c>
    </row>
    <row r="277" spans="1:2" x14ac:dyDescent="0.2">
      <c r="A277" s="4">
        <v>1.5</v>
      </c>
      <c r="B277" s="6">
        <v>0</v>
      </c>
    </row>
    <row r="278" spans="1:2" x14ac:dyDescent="0.2">
      <c r="A278" s="4">
        <v>4.4000000000000004</v>
      </c>
      <c r="B278" s="6">
        <v>0</v>
      </c>
    </row>
    <row r="279" spans="1:2" x14ac:dyDescent="0.2">
      <c r="A279" s="4">
        <v>3.9</v>
      </c>
      <c r="B279" s="6">
        <v>0</v>
      </c>
    </row>
    <row r="280" spans="1:2" x14ac:dyDescent="0.2">
      <c r="A280" s="4">
        <v>1.3</v>
      </c>
      <c r="B280" s="6">
        <v>0</v>
      </c>
    </row>
    <row r="281" spans="1:2" x14ac:dyDescent="0.2">
      <c r="A281" s="4">
        <v>3.8</v>
      </c>
      <c r="B281" s="6">
        <v>0</v>
      </c>
    </row>
    <row r="282" spans="1:2" x14ac:dyDescent="0.2">
      <c r="A282" s="4">
        <v>3.2</v>
      </c>
      <c r="B282" s="6">
        <v>1</v>
      </c>
    </row>
    <row r="283" spans="1:2" x14ac:dyDescent="0.2">
      <c r="A283" s="4">
        <v>1.3</v>
      </c>
      <c r="B283" s="6">
        <v>1</v>
      </c>
    </row>
    <row r="284" spans="1:2" x14ac:dyDescent="0.2">
      <c r="A284" s="4">
        <v>2.8</v>
      </c>
      <c r="B284" s="6">
        <v>0</v>
      </c>
    </row>
    <row r="285" spans="1:2" x14ac:dyDescent="0.2">
      <c r="A285" s="4">
        <v>2.9</v>
      </c>
      <c r="B285" s="6">
        <v>0</v>
      </c>
    </row>
    <row r="286" spans="1:2" x14ac:dyDescent="0.2">
      <c r="A286" s="4">
        <v>1.7</v>
      </c>
      <c r="B286" s="6">
        <v>0</v>
      </c>
    </row>
    <row r="287" spans="1:2" x14ac:dyDescent="0.2">
      <c r="A287" s="4">
        <v>4.8</v>
      </c>
      <c r="B287" s="6">
        <v>1</v>
      </c>
    </row>
    <row r="288" spans="1:2" x14ac:dyDescent="0.2">
      <c r="A288" s="4">
        <v>4.4000000000000004</v>
      </c>
      <c r="B288" s="6">
        <v>1</v>
      </c>
    </row>
    <row r="289" spans="1:2" x14ac:dyDescent="0.2">
      <c r="A289" s="4">
        <v>3.7</v>
      </c>
      <c r="B289" s="6">
        <v>0</v>
      </c>
    </row>
    <row r="290" spans="1:2" x14ac:dyDescent="0.2">
      <c r="A290" s="4">
        <v>2.8</v>
      </c>
      <c r="B290" s="6">
        <v>1</v>
      </c>
    </row>
    <row r="291" spans="1:2" x14ac:dyDescent="0.2">
      <c r="A291" s="4">
        <v>2.6</v>
      </c>
      <c r="B291" s="6">
        <v>0</v>
      </c>
    </row>
    <row r="292" spans="1:2" x14ac:dyDescent="0.2">
      <c r="A292" s="4">
        <v>3.6</v>
      </c>
      <c r="B292" s="6">
        <v>0</v>
      </c>
    </row>
    <row r="293" spans="1:2" x14ac:dyDescent="0.2">
      <c r="A293" s="4">
        <v>3.2</v>
      </c>
      <c r="B293" s="6">
        <v>0</v>
      </c>
    </row>
    <row r="294" spans="1:2" x14ac:dyDescent="0.2">
      <c r="A294" s="4">
        <v>1.2</v>
      </c>
      <c r="B294" s="6">
        <v>0</v>
      </c>
    </row>
    <row r="295" spans="1:2" x14ac:dyDescent="0.2">
      <c r="A295" s="4">
        <v>3.1</v>
      </c>
      <c r="B295" s="6">
        <v>0</v>
      </c>
    </row>
    <row r="296" spans="1:2" x14ac:dyDescent="0.2">
      <c r="A296" s="4">
        <v>4.2</v>
      </c>
      <c r="B296" s="6">
        <v>0</v>
      </c>
    </row>
    <row r="297" spans="1:2" x14ac:dyDescent="0.2">
      <c r="A297" s="4">
        <v>2.8</v>
      </c>
      <c r="B297" s="6">
        <v>0</v>
      </c>
    </row>
    <row r="298" spans="1:2" x14ac:dyDescent="0.2">
      <c r="A298" s="4">
        <v>1.2</v>
      </c>
      <c r="B298" s="6">
        <v>1</v>
      </c>
    </row>
    <row r="299" spans="1:2" x14ac:dyDescent="0.2">
      <c r="A299" s="4">
        <v>4.0999999999999996</v>
      </c>
      <c r="B299" s="6">
        <v>0</v>
      </c>
    </row>
    <row r="300" spans="1:2" x14ac:dyDescent="0.2">
      <c r="A300" s="4">
        <v>1.8</v>
      </c>
      <c r="B300" s="6">
        <v>0</v>
      </c>
    </row>
    <row r="301" spans="1:2" x14ac:dyDescent="0.2">
      <c r="A301" s="4">
        <v>2</v>
      </c>
      <c r="B301" s="6">
        <v>0</v>
      </c>
    </row>
    <row r="302" spans="1:2" x14ac:dyDescent="0.2">
      <c r="A302" s="4">
        <v>1.7</v>
      </c>
      <c r="B302" s="6">
        <v>0</v>
      </c>
    </row>
    <row r="303" spans="1:2" x14ac:dyDescent="0.2">
      <c r="A303" s="4">
        <v>2.2999999999999998</v>
      </c>
      <c r="B303" s="6">
        <v>0</v>
      </c>
    </row>
    <row r="304" spans="1:2" x14ac:dyDescent="0.2">
      <c r="A304" s="4">
        <v>4</v>
      </c>
      <c r="B304" s="6">
        <v>0</v>
      </c>
    </row>
    <row r="305" spans="1:2" x14ac:dyDescent="0.2">
      <c r="A305" s="4">
        <v>3.1</v>
      </c>
      <c r="B305" s="6">
        <v>0</v>
      </c>
    </row>
    <row r="306" spans="1:2" x14ac:dyDescent="0.2">
      <c r="A306" s="4">
        <v>1.8</v>
      </c>
      <c r="B306" s="6">
        <v>0</v>
      </c>
    </row>
    <row r="307" spans="1:2" x14ac:dyDescent="0.2">
      <c r="A307" s="4">
        <v>4.5</v>
      </c>
      <c r="B307" s="6">
        <v>0</v>
      </c>
    </row>
    <row r="308" spans="1:2" x14ac:dyDescent="0.2">
      <c r="A308" s="4">
        <v>4.5</v>
      </c>
      <c r="B308" s="6">
        <v>0</v>
      </c>
    </row>
    <row r="309" spans="1:2" x14ac:dyDescent="0.2">
      <c r="A309" s="4">
        <v>4.5</v>
      </c>
      <c r="B309" s="6">
        <v>0</v>
      </c>
    </row>
    <row r="310" spans="1:2" x14ac:dyDescent="0.2">
      <c r="A310" s="4">
        <v>2</v>
      </c>
      <c r="B310" s="6">
        <v>0</v>
      </c>
    </row>
    <row r="311" spans="1:2" x14ac:dyDescent="0.2">
      <c r="A311" s="4">
        <v>2.8</v>
      </c>
      <c r="B311" s="6">
        <v>0</v>
      </c>
    </row>
    <row r="312" spans="1:2" x14ac:dyDescent="0.2">
      <c r="A312" s="4">
        <v>4.9000000000000004</v>
      </c>
      <c r="B312" s="6">
        <v>1</v>
      </c>
    </row>
    <row r="313" spans="1:2" x14ac:dyDescent="0.2">
      <c r="A313" s="4">
        <v>4.0999999999999996</v>
      </c>
      <c r="B313" s="6">
        <v>0</v>
      </c>
    </row>
    <row r="314" spans="1:2" x14ac:dyDescent="0.2">
      <c r="A314" s="4">
        <v>1.1000000000000001</v>
      </c>
      <c r="B314" s="6">
        <v>0</v>
      </c>
    </row>
    <row r="315" spans="1:2" x14ac:dyDescent="0.2">
      <c r="A315" s="4">
        <v>1.3</v>
      </c>
      <c r="B315" s="6">
        <v>1</v>
      </c>
    </row>
    <row r="316" spans="1:2" x14ac:dyDescent="0.2">
      <c r="A316" s="4">
        <v>2.9</v>
      </c>
      <c r="B316" s="6">
        <v>0</v>
      </c>
    </row>
    <row r="317" spans="1:2" x14ac:dyDescent="0.2">
      <c r="A317" s="4">
        <v>4.5999999999999996</v>
      </c>
      <c r="B317" s="6">
        <v>0</v>
      </c>
    </row>
    <row r="318" spans="1:2" x14ac:dyDescent="0.2">
      <c r="A318" s="4">
        <v>3.2</v>
      </c>
      <c r="B318" s="6">
        <v>1</v>
      </c>
    </row>
    <row r="319" spans="1:2" x14ac:dyDescent="0.2">
      <c r="A319" s="4">
        <v>3</v>
      </c>
      <c r="B319" s="6">
        <v>1</v>
      </c>
    </row>
    <row r="320" spans="1:2" x14ac:dyDescent="0.2">
      <c r="A320" s="4">
        <v>1.4</v>
      </c>
      <c r="B320" s="6">
        <v>1</v>
      </c>
    </row>
    <row r="321" spans="1:2" x14ac:dyDescent="0.2">
      <c r="A321" s="4">
        <v>3.6</v>
      </c>
      <c r="B321" s="6">
        <v>0</v>
      </c>
    </row>
    <row r="322" spans="1:2" x14ac:dyDescent="0.2">
      <c r="A322" s="4">
        <v>4.3</v>
      </c>
      <c r="B322" s="6">
        <v>0</v>
      </c>
    </row>
    <row r="323" spans="1:2" x14ac:dyDescent="0.2">
      <c r="A323" s="4">
        <v>2.5</v>
      </c>
      <c r="B323" s="6">
        <v>0</v>
      </c>
    </row>
    <row r="324" spans="1:2" x14ac:dyDescent="0.2">
      <c r="A324" s="4">
        <v>4.0999999999999996</v>
      </c>
      <c r="B324" s="6">
        <v>0</v>
      </c>
    </row>
    <row r="325" spans="1:2" x14ac:dyDescent="0.2">
      <c r="A325" s="4">
        <v>4.9000000000000004</v>
      </c>
      <c r="B325" s="6">
        <v>0</v>
      </c>
    </row>
    <row r="326" spans="1:2" x14ac:dyDescent="0.2">
      <c r="A326" s="4">
        <v>1.8</v>
      </c>
      <c r="B326" s="6">
        <v>0</v>
      </c>
    </row>
    <row r="327" spans="1:2" x14ac:dyDescent="0.2">
      <c r="A327" s="4">
        <v>3.1</v>
      </c>
      <c r="B327" s="6">
        <v>1</v>
      </c>
    </row>
    <row r="328" spans="1:2" x14ac:dyDescent="0.2">
      <c r="A328" s="4">
        <v>2.1</v>
      </c>
      <c r="B328" s="6">
        <v>0</v>
      </c>
    </row>
    <row r="329" spans="1:2" x14ac:dyDescent="0.2">
      <c r="A329" s="4">
        <v>4.2</v>
      </c>
      <c r="B329" s="6">
        <v>0</v>
      </c>
    </row>
    <row r="330" spans="1:2" x14ac:dyDescent="0.2">
      <c r="A330" s="4">
        <v>3.3</v>
      </c>
      <c r="B330" s="6">
        <v>0</v>
      </c>
    </row>
    <row r="331" spans="1:2" x14ac:dyDescent="0.2">
      <c r="A331" s="4">
        <v>3.5</v>
      </c>
      <c r="B331" s="6">
        <v>0</v>
      </c>
    </row>
    <row r="332" spans="1:2" x14ac:dyDescent="0.2">
      <c r="A332" s="4">
        <v>4.2</v>
      </c>
      <c r="B332" s="6">
        <v>0</v>
      </c>
    </row>
    <row r="333" spans="1:2" x14ac:dyDescent="0.2">
      <c r="A333" s="4">
        <v>2.6</v>
      </c>
      <c r="B333" s="6">
        <v>0</v>
      </c>
    </row>
    <row r="334" spans="1:2" x14ac:dyDescent="0.2">
      <c r="A334" s="4">
        <v>4.7</v>
      </c>
      <c r="B334" s="6">
        <v>0</v>
      </c>
    </row>
    <row r="335" spans="1:2" x14ac:dyDescent="0.2">
      <c r="A335" s="4">
        <v>3.1</v>
      </c>
      <c r="B335" s="6">
        <v>0</v>
      </c>
    </row>
    <row r="336" spans="1:2" x14ac:dyDescent="0.2">
      <c r="A336" s="4">
        <v>1.6</v>
      </c>
      <c r="B336" s="6">
        <v>1</v>
      </c>
    </row>
    <row r="337" spans="1:2" x14ac:dyDescent="0.2">
      <c r="A337" s="4">
        <v>3.8</v>
      </c>
      <c r="B337" s="6">
        <v>1</v>
      </c>
    </row>
    <row r="338" spans="1:2" x14ac:dyDescent="0.2">
      <c r="A338" s="4">
        <v>4.2</v>
      </c>
      <c r="B338" s="6">
        <v>0</v>
      </c>
    </row>
    <row r="339" spans="1:2" x14ac:dyDescent="0.2">
      <c r="A339" s="4">
        <v>2.2999999999999998</v>
      </c>
      <c r="B339" s="6">
        <v>0</v>
      </c>
    </row>
    <row r="340" spans="1:2" x14ac:dyDescent="0.2">
      <c r="A340" s="4">
        <v>4.4000000000000004</v>
      </c>
      <c r="B340" s="6">
        <v>1</v>
      </c>
    </row>
    <row r="341" spans="1:2" x14ac:dyDescent="0.2">
      <c r="A341" s="4">
        <v>4.5999999999999996</v>
      </c>
      <c r="B341" s="6">
        <v>1</v>
      </c>
    </row>
    <row r="342" spans="1:2" x14ac:dyDescent="0.2">
      <c r="A342" s="4">
        <v>2.1</v>
      </c>
      <c r="B342" s="6">
        <v>0</v>
      </c>
    </row>
    <row r="343" spans="1:2" x14ac:dyDescent="0.2">
      <c r="A343" s="4">
        <v>4.9000000000000004</v>
      </c>
      <c r="B343" s="6">
        <v>0</v>
      </c>
    </row>
    <row r="344" spans="1:2" x14ac:dyDescent="0.2">
      <c r="A344" s="4">
        <v>1.6</v>
      </c>
      <c r="B344" s="6">
        <v>0</v>
      </c>
    </row>
    <row r="345" spans="1:2" x14ac:dyDescent="0.2">
      <c r="A345" s="4">
        <v>1.8</v>
      </c>
      <c r="B345" s="6">
        <v>1</v>
      </c>
    </row>
    <row r="346" spans="1:2" x14ac:dyDescent="0.2">
      <c r="A346" s="4">
        <v>1.7</v>
      </c>
      <c r="B346" s="6">
        <v>1</v>
      </c>
    </row>
    <row r="347" spans="1:2" x14ac:dyDescent="0.2">
      <c r="A347" s="4">
        <v>4.5999999999999996</v>
      </c>
      <c r="B347" s="6">
        <v>0</v>
      </c>
    </row>
    <row r="348" spans="1:2" x14ac:dyDescent="0.2">
      <c r="A348" s="4">
        <v>3.6</v>
      </c>
      <c r="B348" s="6">
        <v>1</v>
      </c>
    </row>
    <row r="349" spans="1:2" x14ac:dyDescent="0.2">
      <c r="A349" s="4">
        <v>1.6</v>
      </c>
      <c r="B349" s="6">
        <v>0</v>
      </c>
    </row>
    <row r="350" spans="1:2" x14ac:dyDescent="0.2">
      <c r="A350" s="4">
        <v>2.8</v>
      </c>
      <c r="B350" s="6">
        <v>1</v>
      </c>
    </row>
    <row r="351" spans="1:2" x14ac:dyDescent="0.2">
      <c r="A351" s="4">
        <v>3.5</v>
      </c>
      <c r="B351" s="6">
        <v>0</v>
      </c>
    </row>
    <row r="352" spans="1:2" x14ac:dyDescent="0.2">
      <c r="A352" s="4">
        <v>1.3</v>
      </c>
      <c r="B352" s="6">
        <v>1</v>
      </c>
    </row>
    <row r="353" spans="1:2" x14ac:dyDescent="0.2">
      <c r="A353" s="4">
        <v>4.5</v>
      </c>
      <c r="B353" s="6">
        <v>0</v>
      </c>
    </row>
    <row r="354" spans="1:2" x14ac:dyDescent="0.2">
      <c r="A354" s="4">
        <v>4.2</v>
      </c>
      <c r="B354" s="6">
        <v>0</v>
      </c>
    </row>
    <row r="355" spans="1:2" x14ac:dyDescent="0.2">
      <c r="A355" s="4">
        <v>3</v>
      </c>
      <c r="B355" s="6">
        <v>0</v>
      </c>
    </row>
    <row r="356" spans="1:2" x14ac:dyDescent="0.2">
      <c r="A356" s="4">
        <v>4.9000000000000004</v>
      </c>
      <c r="B356" s="6">
        <v>1</v>
      </c>
    </row>
    <row r="357" spans="1:2" x14ac:dyDescent="0.2">
      <c r="A357" s="4">
        <v>2.7</v>
      </c>
      <c r="B357" s="6">
        <v>1</v>
      </c>
    </row>
    <row r="358" spans="1:2" x14ac:dyDescent="0.2">
      <c r="A358" s="4">
        <v>4.9000000000000004</v>
      </c>
      <c r="B358" s="6">
        <v>1</v>
      </c>
    </row>
    <row r="359" spans="1:2" x14ac:dyDescent="0.2">
      <c r="A359" s="4">
        <v>3.7</v>
      </c>
      <c r="B359" s="6">
        <v>1</v>
      </c>
    </row>
    <row r="360" spans="1:2" x14ac:dyDescent="0.2">
      <c r="A360" s="4">
        <v>3.5</v>
      </c>
      <c r="B360" s="6">
        <v>0</v>
      </c>
    </row>
    <row r="361" spans="1:2" x14ac:dyDescent="0.2">
      <c r="A361" s="4">
        <v>1.7</v>
      </c>
      <c r="B361" s="6">
        <v>0</v>
      </c>
    </row>
    <row r="362" spans="1:2" x14ac:dyDescent="0.2">
      <c r="A362" s="4">
        <v>4.5</v>
      </c>
      <c r="B362" s="6">
        <v>0</v>
      </c>
    </row>
    <row r="363" spans="1:2" x14ac:dyDescent="0.2">
      <c r="A363" s="4">
        <v>2.7</v>
      </c>
      <c r="B363" s="6">
        <v>0</v>
      </c>
    </row>
    <row r="364" spans="1:2" x14ac:dyDescent="0.2">
      <c r="A364" s="4">
        <v>1.6</v>
      </c>
      <c r="B364" s="6">
        <v>0</v>
      </c>
    </row>
    <row r="365" spans="1:2" x14ac:dyDescent="0.2">
      <c r="A365" s="4">
        <v>1.1000000000000001</v>
      </c>
      <c r="B365" s="6">
        <v>0</v>
      </c>
    </row>
    <row r="366" spans="1:2" x14ac:dyDescent="0.2">
      <c r="A366" s="4">
        <v>3.2</v>
      </c>
      <c r="B366" s="6">
        <v>0</v>
      </c>
    </row>
    <row r="367" spans="1:2" x14ac:dyDescent="0.2">
      <c r="A367" s="4">
        <v>3.1</v>
      </c>
      <c r="B367" s="6">
        <v>0</v>
      </c>
    </row>
    <row r="368" spans="1:2" x14ac:dyDescent="0.2">
      <c r="A368" s="4">
        <v>3.9</v>
      </c>
      <c r="B368" s="6">
        <v>0</v>
      </c>
    </row>
    <row r="369" spans="1:2" x14ac:dyDescent="0.2">
      <c r="A369" s="4">
        <v>4.5999999999999996</v>
      </c>
      <c r="B369" s="6">
        <v>0</v>
      </c>
    </row>
    <row r="370" spans="1:2" x14ac:dyDescent="0.2">
      <c r="A370" s="4">
        <v>1.3</v>
      </c>
      <c r="B370" s="6">
        <v>1</v>
      </c>
    </row>
    <row r="371" spans="1:2" x14ac:dyDescent="0.2">
      <c r="A371" s="4">
        <v>3.9</v>
      </c>
      <c r="B371" s="6">
        <v>1</v>
      </c>
    </row>
    <row r="372" spans="1:2" x14ac:dyDescent="0.2">
      <c r="A372" s="4">
        <v>1.7</v>
      </c>
      <c r="B372" s="6">
        <v>1</v>
      </c>
    </row>
    <row r="373" spans="1:2" x14ac:dyDescent="0.2">
      <c r="A373" s="4">
        <v>4.4000000000000004</v>
      </c>
      <c r="B373" s="6">
        <v>0</v>
      </c>
    </row>
    <row r="374" spans="1:2" x14ac:dyDescent="0.2">
      <c r="A374" s="4">
        <v>4.3</v>
      </c>
      <c r="B374" s="6">
        <v>0</v>
      </c>
    </row>
    <row r="375" spans="1:2" x14ac:dyDescent="0.2">
      <c r="A375" s="4">
        <v>3.2</v>
      </c>
      <c r="B375" s="6">
        <v>1</v>
      </c>
    </row>
    <row r="376" spans="1:2" x14ac:dyDescent="0.2">
      <c r="A376" s="4">
        <v>3.8</v>
      </c>
      <c r="B376" s="6">
        <v>0</v>
      </c>
    </row>
    <row r="377" spans="1:2" x14ac:dyDescent="0.2">
      <c r="A377" s="4">
        <v>2.2999999999999998</v>
      </c>
      <c r="B377" s="6">
        <v>0</v>
      </c>
    </row>
    <row r="378" spans="1:2" x14ac:dyDescent="0.2">
      <c r="A378" s="4">
        <v>2.9</v>
      </c>
      <c r="B378" s="6">
        <v>0</v>
      </c>
    </row>
    <row r="379" spans="1:2" x14ac:dyDescent="0.2">
      <c r="A379" s="4">
        <v>4.3</v>
      </c>
      <c r="B379" s="6">
        <v>0</v>
      </c>
    </row>
    <row r="380" spans="1:2" x14ac:dyDescent="0.2">
      <c r="A380" s="4">
        <v>2.8</v>
      </c>
      <c r="B380" s="6">
        <v>0</v>
      </c>
    </row>
    <row r="381" spans="1:2" x14ac:dyDescent="0.2">
      <c r="A381" s="4">
        <v>2.4</v>
      </c>
      <c r="B381" s="6">
        <v>0</v>
      </c>
    </row>
    <row r="382" spans="1:2" x14ac:dyDescent="0.2">
      <c r="A382" s="4">
        <v>3</v>
      </c>
      <c r="B382" s="6">
        <v>0</v>
      </c>
    </row>
    <row r="383" spans="1:2" x14ac:dyDescent="0.2">
      <c r="A383" s="4">
        <v>4.3</v>
      </c>
      <c r="B383" s="6">
        <v>0</v>
      </c>
    </row>
    <row r="384" spans="1:2" x14ac:dyDescent="0.2">
      <c r="A384" s="4">
        <v>2.2999999999999998</v>
      </c>
      <c r="B384" s="6">
        <v>0</v>
      </c>
    </row>
    <row r="385" spans="1:2" x14ac:dyDescent="0.2">
      <c r="A385" s="4">
        <v>1.7</v>
      </c>
      <c r="B385" s="6">
        <v>1</v>
      </c>
    </row>
    <row r="386" spans="1:2" x14ac:dyDescent="0.2">
      <c r="A386" s="4">
        <v>3.8</v>
      </c>
      <c r="B386" s="6">
        <v>0</v>
      </c>
    </row>
    <row r="387" spans="1:2" x14ac:dyDescent="0.2">
      <c r="A387" s="4">
        <v>4.3</v>
      </c>
      <c r="B387" s="6">
        <v>0</v>
      </c>
    </row>
    <row r="388" spans="1:2" x14ac:dyDescent="0.2">
      <c r="A388" s="4">
        <v>1.4</v>
      </c>
      <c r="B388" s="6">
        <v>1</v>
      </c>
    </row>
    <row r="389" spans="1:2" x14ac:dyDescent="0.2">
      <c r="A389" s="4">
        <v>2</v>
      </c>
      <c r="B389" s="6">
        <v>0</v>
      </c>
    </row>
    <row r="390" spans="1:2" x14ac:dyDescent="0.2">
      <c r="A390" s="4">
        <v>1.6</v>
      </c>
      <c r="B390" s="6">
        <v>0</v>
      </c>
    </row>
    <row r="391" spans="1:2" x14ac:dyDescent="0.2">
      <c r="A391" s="4">
        <v>2.4</v>
      </c>
      <c r="B391" s="6">
        <v>0</v>
      </c>
    </row>
    <row r="392" spans="1:2" x14ac:dyDescent="0.2">
      <c r="A392" s="4">
        <v>2.8</v>
      </c>
      <c r="B392" s="6">
        <v>0</v>
      </c>
    </row>
    <row r="393" spans="1:2" x14ac:dyDescent="0.2">
      <c r="A393" s="4">
        <v>4</v>
      </c>
      <c r="B393" s="6">
        <v>0</v>
      </c>
    </row>
    <row r="394" spans="1:2" x14ac:dyDescent="0.2">
      <c r="A394" s="4">
        <v>3.6</v>
      </c>
      <c r="B394" s="6">
        <v>1</v>
      </c>
    </row>
    <row r="395" spans="1:2" x14ac:dyDescent="0.2">
      <c r="A395" s="4">
        <v>3.5</v>
      </c>
      <c r="B395" s="6">
        <v>0</v>
      </c>
    </row>
    <row r="396" spans="1:2" x14ac:dyDescent="0.2">
      <c r="A396" s="4">
        <v>2.4</v>
      </c>
      <c r="B396" s="6">
        <v>0</v>
      </c>
    </row>
    <row r="397" spans="1:2" x14ac:dyDescent="0.2">
      <c r="A397" s="4">
        <v>4.4000000000000004</v>
      </c>
      <c r="B397" s="6">
        <v>0</v>
      </c>
    </row>
    <row r="398" spans="1:2" x14ac:dyDescent="0.2">
      <c r="A398" s="4">
        <v>2.9</v>
      </c>
      <c r="B398" s="6">
        <v>0</v>
      </c>
    </row>
    <row r="399" spans="1:2" x14ac:dyDescent="0.2">
      <c r="A399" s="4">
        <v>4.9000000000000004</v>
      </c>
      <c r="B399" s="6">
        <v>0</v>
      </c>
    </row>
    <row r="400" spans="1:2" x14ac:dyDescent="0.2">
      <c r="A400" s="4">
        <v>3.5</v>
      </c>
      <c r="B400" s="6">
        <v>0</v>
      </c>
    </row>
    <row r="401" spans="1:2" x14ac:dyDescent="0.2">
      <c r="A401" s="4">
        <v>1.5</v>
      </c>
      <c r="B401" s="6">
        <v>0</v>
      </c>
    </row>
    <row r="402" spans="1:2" x14ac:dyDescent="0.2">
      <c r="A402" s="4">
        <v>3.7</v>
      </c>
      <c r="B402" s="6">
        <v>0</v>
      </c>
    </row>
    <row r="403" spans="1:2" x14ac:dyDescent="0.2">
      <c r="A403" s="4">
        <v>2.2999999999999998</v>
      </c>
      <c r="B403" s="6">
        <v>0</v>
      </c>
    </row>
    <row r="404" spans="1:2" x14ac:dyDescent="0.2">
      <c r="A404" s="4">
        <v>3.7</v>
      </c>
      <c r="B404" s="6">
        <v>0</v>
      </c>
    </row>
    <row r="405" spans="1:2" x14ac:dyDescent="0.2">
      <c r="A405" s="4">
        <v>1.3</v>
      </c>
      <c r="B405" s="6">
        <v>1</v>
      </c>
    </row>
    <row r="406" spans="1:2" x14ac:dyDescent="0.2">
      <c r="A406" s="4">
        <v>1.7</v>
      </c>
      <c r="B406" s="6">
        <v>0</v>
      </c>
    </row>
    <row r="407" spans="1:2" x14ac:dyDescent="0.2">
      <c r="A407" s="4">
        <v>4.4000000000000004</v>
      </c>
      <c r="B407" s="6">
        <v>0</v>
      </c>
    </row>
    <row r="408" spans="1:2" x14ac:dyDescent="0.2">
      <c r="A408" s="4">
        <v>1.9</v>
      </c>
      <c r="B408" s="6">
        <v>0</v>
      </c>
    </row>
    <row r="409" spans="1:2" x14ac:dyDescent="0.2">
      <c r="A409" s="4">
        <v>4.3</v>
      </c>
      <c r="B409" s="6">
        <v>0</v>
      </c>
    </row>
    <row r="410" spans="1:2" x14ac:dyDescent="0.2">
      <c r="A410" s="4">
        <v>2.1</v>
      </c>
      <c r="B410" s="6">
        <v>0</v>
      </c>
    </row>
    <row r="411" spans="1:2" x14ac:dyDescent="0.2">
      <c r="A411" s="4">
        <v>3.6</v>
      </c>
      <c r="B411" s="6">
        <v>0</v>
      </c>
    </row>
    <row r="412" spans="1:2" x14ac:dyDescent="0.2">
      <c r="A412" s="4">
        <v>3.8</v>
      </c>
      <c r="B412" s="6">
        <v>1</v>
      </c>
    </row>
    <row r="413" spans="1:2" x14ac:dyDescent="0.2">
      <c r="A413" s="4">
        <v>3.1</v>
      </c>
      <c r="B413" s="6">
        <v>1</v>
      </c>
    </row>
    <row r="414" spans="1:2" x14ac:dyDescent="0.2">
      <c r="A414" s="4">
        <v>2.2000000000000002</v>
      </c>
      <c r="B414" s="6">
        <v>0</v>
      </c>
    </row>
    <row r="415" spans="1:2" x14ac:dyDescent="0.2">
      <c r="A415" s="4">
        <v>1.9</v>
      </c>
      <c r="B415" s="6">
        <v>0</v>
      </c>
    </row>
    <row r="416" spans="1:2" x14ac:dyDescent="0.2">
      <c r="A416" s="4">
        <v>1.1000000000000001</v>
      </c>
      <c r="B416" s="6">
        <v>1</v>
      </c>
    </row>
    <row r="417" spans="1:2" x14ac:dyDescent="0.2">
      <c r="A417" s="4">
        <v>2.2000000000000002</v>
      </c>
      <c r="B417" s="6">
        <v>1</v>
      </c>
    </row>
    <row r="418" spans="1:2" x14ac:dyDescent="0.2">
      <c r="A418" s="4">
        <v>3.6</v>
      </c>
      <c r="B418" s="6">
        <v>1</v>
      </c>
    </row>
    <row r="419" spans="1:2" x14ac:dyDescent="0.2">
      <c r="A419" s="4">
        <v>4.8</v>
      </c>
      <c r="B419" s="6">
        <v>0</v>
      </c>
    </row>
    <row r="420" spans="1:2" x14ac:dyDescent="0.2">
      <c r="A420" s="4">
        <v>4.5</v>
      </c>
      <c r="B420" s="6">
        <v>0</v>
      </c>
    </row>
    <row r="421" spans="1:2" x14ac:dyDescent="0.2">
      <c r="A421" s="4">
        <v>4.0999999999999996</v>
      </c>
      <c r="B421" s="6">
        <v>0</v>
      </c>
    </row>
    <row r="422" spans="1:2" x14ac:dyDescent="0.2">
      <c r="A422" s="4">
        <v>4.2</v>
      </c>
      <c r="B422" s="6">
        <v>0</v>
      </c>
    </row>
    <row r="423" spans="1:2" x14ac:dyDescent="0.2">
      <c r="A423" s="4">
        <v>3.7</v>
      </c>
      <c r="B423" s="6">
        <v>0</v>
      </c>
    </row>
    <row r="424" spans="1:2" x14ac:dyDescent="0.2">
      <c r="A424" s="4">
        <v>2</v>
      </c>
      <c r="B424" s="6">
        <v>0</v>
      </c>
    </row>
    <row r="425" spans="1:2" x14ac:dyDescent="0.2">
      <c r="A425" s="4">
        <v>4.5999999999999996</v>
      </c>
      <c r="B425" s="6">
        <v>1</v>
      </c>
    </row>
    <row r="426" spans="1:2" x14ac:dyDescent="0.2">
      <c r="A426" s="4">
        <v>3.7</v>
      </c>
      <c r="B426" s="6">
        <v>0</v>
      </c>
    </row>
    <row r="427" spans="1:2" x14ac:dyDescent="0.2">
      <c r="A427" s="4">
        <v>3.2</v>
      </c>
      <c r="B427" s="6">
        <v>1</v>
      </c>
    </row>
    <row r="428" spans="1:2" x14ac:dyDescent="0.2">
      <c r="A428" s="4">
        <v>1.4</v>
      </c>
      <c r="B428" s="6">
        <v>0</v>
      </c>
    </row>
    <row r="429" spans="1:2" x14ac:dyDescent="0.2">
      <c r="A429" s="4">
        <v>2.8</v>
      </c>
      <c r="B429" s="6">
        <v>0</v>
      </c>
    </row>
    <row r="430" spans="1:2" x14ac:dyDescent="0.2">
      <c r="A430" s="4">
        <v>2.8</v>
      </c>
      <c r="B430" s="6">
        <v>0</v>
      </c>
    </row>
    <row r="431" spans="1:2" x14ac:dyDescent="0.2">
      <c r="A431" s="4">
        <v>4.5</v>
      </c>
      <c r="B431" s="6">
        <v>1</v>
      </c>
    </row>
    <row r="432" spans="1:2" x14ac:dyDescent="0.2">
      <c r="A432" s="4">
        <v>3.2</v>
      </c>
      <c r="B432" s="6">
        <v>0</v>
      </c>
    </row>
    <row r="433" spans="1:2" x14ac:dyDescent="0.2">
      <c r="A433" s="4">
        <v>2.5</v>
      </c>
      <c r="B433" s="6">
        <v>0</v>
      </c>
    </row>
    <row r="434" spans="1:2" x14ac:dyDescent="0.2">
      <c r="A434" s="4">
        <v>4.9000000000000004</v>
      </c>
      <c r="B434" s="6">
        <v>1</v>
      </c>
    </row>
    <row r="435" spans="1:2" x14ac:dyDescent="0.2">
      <c r="A435" s="4">
        <v>1.4</v>
      </c>
      <c r="B435" s="6">
        <v>0</v>
      </c>
    </row>
    <row r="436" spans="1:2" x14ac:dyDescent="0.2">
      <c r="A436" s="4">
        <v>2.7</v>
      </c>
      <c r="B436" s="6">
        <v>0</v>
      </c>
    </row>
    <row r="437" spans="1:2" x14ac:dyDescent="0.2">
      <c r="A437" s="4">
        <v>1.2</v>
      </c>
      <c r="B437" s="6">
        <v>0</v>
      </c>
    </row>
    <row r="438" spans="1:2" x14ac:dyDescent="0.2">
      <c r="A438" s="4">
        <v>4</v>
      </c>
      <c r="B438" s="6">
        <v>0</v>
      </c>
    </row>
    <row r="439" spans="1:2" x14ac:dyDescent="0.2">
      <c r="A439" s="4">
        <v>4.7</v>
      </c>
      <c r="B439" s="6">
        <v>0</v>
      </c>
    </row>
    <row r="440" spans="1:2" x14ac:dyDescent="0.2">
      <c r="A440" s="4">
        <v>2.1</v>
      </c>
      <c r="B440" s="6">
        <v>0</v>
      </c>
    </row>
    <row r="441" spans="1:2" x14ac:dyDescent="0.2">
      <c r="A441" s="4">
        <v>4.4000000000000004</v>
      </c>
      <c r="B441" s="6">
        <v>0</v>
      </c>
    </row>
    <row r="442" spans="1:2" x14ac:dyDescent="0.2">
      <c r="A442" s="4">
        <v>2.2000000000000002</v>
      </c>
      <c r="B442" s="6">
        <v>0</v>
      </c>
    </row>
    <row r="443" spans="1:2" x14ac:dyDescent="0.2">
      <c r="A443" s="4">
        <v>4.5999999999999996</v>
      </c>
      <c r="B443" s="6">
        <v>0</v>
      </c>
    </row>
    <row r="444" spans="1:2" x14ac:dyDescent="0.2">
      <c r="A444" s="4">
        <v>4</v>
      </c>
      <c r="B444" s="6">
        <v>0</v>
      </c>
    </row>
    <row r="445" spans="1:2" x14ac:dyDescent="0.2">
      <c r="A445" s="4">
        <v>4.2</v>
      </c>
      <c r="B445" s="6">
        <v>0</v>
      </c>
    </row>
    <row r="446" spans="1:2" x14ac:dyDescent="0.2">
      <c r="A446" s="4">
        <v>1.1000000000000001</v>
      </c>
      <c r="B446" s="6">
        <v>0</v>
      </c>
    </row>
    <row r="447" spans="1:2" x14ac:dyDescent="0.2">
      <c r="A447" s="4">
        <v>4.9000000000000004</v>
      </c>
      <c r="B447" s="6">
        <v>0</v>
      </c>
    </row>
    <row r="448" spans="1:2" x14ac:dyDescent="0.2">
      <c r="A448" s="4">
        <v>3.9</v>
      </c>
      <c r="B448" s="6">
        <v>0</v>
      </c>
    </row>
    <row r="449" spans="1:2" x14ac:dyDescent="0.2">
      <c r="A449" s="4">
        <v>2.2000000000000002</v>
      </c>
      <c r="B449" s="6">
        <v>0</v>
      </c>
    </row>
    <row r="450" spans="1:2" x14ac:dyDescent="0.2">
      <c r="A450" s="4">
        <v>4.3</v>
      </c>
      <c r="B450" s="6">
        <v>1</v>
      </c>
    </row>
    <row r="451" spans="1:2" x14ac:dyDescent="0.2">
      <c r="A451" s="4">
        <v>2.1</v>
      </c>
      <c r="B451" s="6">
        <v>0</v>
      </c>
    </row>
    <row r="452" spans="1:2" x14ac:dyDescent="0.2">
      <c r="A452" s="4">
        <v>4.5</v>
      </c>
      <c r="B452" s="6">
        <v>1</v>
      </c>
    </row>
    <row r="453" spans="1:2" x14ac:dyDescent="0.2">
      <c r="A453" s="4">
        <v>1.5</v>
      </c>
      <c r="B453" s="6">
        <v>1</v>
      </c>
    </row>
    <row r="454" spans="1:2" x14ac:dyDescent="0.2">
      <c r="A454" s="4">
        <v>3.8</v>
      </c>
      <c r="B454" s="6">
        <v>0</v>
      </c>
    </row>
    <row r="455" spans="1:2" x14ac:dyDescent="0.2">
      <c r="A455" s="4">
        <v>3.2</v>
      </c>
      <c r="B455" s="6">
        <v>0</v>
      </c>
    </row>
    <row r="456" spans="1:2" x14ac:dyDescent="0.2">
      <c r="A456" s="4">
        <v>1.4</v>
      </c>
      <c r="B456" s="6">
        <v>0</v>
      </c>
    </row>
    <row r="457" spans="1:2" x14ac:dyDescent="0.2">
      <c r="A457" s="4">
        <v>2</v>
      </c>
      <c r="B457" s="6">
        <v>1</v>
      </c>
    </row>
    <row r="458" spans="1:2" x14ac:dyDescent="0.2">
      <c r="A458" s="4">
        <v>1</v>
      </c>
      <c r="B458" s="6">
        <v>0</v>
      </c>
    </row>
    <row r="459" spans="1:2" x14ac:dyDescent="0.2">
      <c r="A459" s="4">
        <v>2.9</v>
      </c>
      <c r="B459" s="6">
        <v>0</v>
      </c>
    </row>
    <row r="460" spans="1:2" x14ac:dyDescent="0.2">
      <c r="A460" s="4">
        <v>2.2000000000000002</v>
      </c>
      <c r="B460" s="6">
        <v>0</v>
      </c>
    </row>
    <row r="461" spans="1:2" x14ac:dyDescent="0.2">
      <c r="A461" s="4">
        <v>3.4</v>
      </c>
      <c r="B461" s="6">
        <v>1</v>
      </c>
    </row>
    <row r="462" spans="1:2" x14ac:dyDescent="0.2">
      <c r="A462" s="4">
        <v>2.2000000000000002</v>
      </c>
      <c r="B462" s="6">
        <v>1</v>
      </c>
    </row>
    <row r="463" spans="1:2" x14ac:dyDescent="0.2">
      <c r="A463" s="4">
        <v>2.2000000000000002</v>
      </c>
      <c r="B463" s="6">
        <v>0</v>
      </c>
    </row>
    <row r="464" spans="1:2" x14ac:dyDescent="0.2">
      <c r="A464" s="4">
        <v>4</v>
      </c>
      <c r="B464" s="6">
        <v>0</v>
      </c>
    </row>
    <row r="465" spans="1:2" x14ac:dyDescent="0.2">
      <c r="A465" s="4">
        <v>1.2</v>
      </c>
      <c r="B465" s="6">
        <v>0</v>
      </c>
    </row>
    <row r="466" spans="1:2" x14ac:dyDescent="0.2">
      <c r="A466" s="4">
        <v>4.5999999999999996</v>
      </c>
      <c r="B466" s="6">
        <v>0</v>
      </c>
    </row>
    <row r="467" spans="1:2" x14ac:dyDescent="0.2">
      <c r="A467" s="4">
        <v>4.4000000000000004</v>
      </c>
      <c r="B467" s="6">
        <v>1</v>
      </c>
    </row>
    <row r="468" spans="1:2" x14ac:dyDescent="0.2">
      <c r="A468" s="4">
        <v>3.7</v>
      </c>
      <c r="B468" s="6">
        <v>0</v>
      </c>
    </row>
    <row r="469" spans="1:2" x14ac:dyDescent="0.2">
      <c r="A469" s="4">
        <v>3.4</v>
      </c>
      <c r="B469" s="6">
        <v>0</v>
      </c>
    </row>
    <row r="470" spans="1:2" x14ac:dyDescent="0.2">
      <c r="A470" s="4">
        <v>4.5999999999999996</v>
      </c>
      <c r="B470" s="6">
        <v>0</v>
      </c>
    </row>
    <row r="471" spans="1:2" x14ac:dyDescent="0.2">
      <c r="A471" s="4">
        <v>1.7</v>
      </c>
      <c r="B471" s="6">
        <v>1</v>
      </c>
    </row>
    <row r="472" spans="1:2" x14ac:dyDescent="0.2">
      <c r="A472" s="4">
        <v>1.3</v>
      </c>
      <c r="B472" s="6">
        <v>1</v>
      </c>
    </row>
    <row r="473" spans="1:2" x14ac:dyDescent="0.2">
      <c r="A473" s="4">
        <v>2</v>
      </c>
      <c r="B473" s="6">
        <v>0</v>
      </c>
    </row>
    <row r="474" spans="1:2" x14ac:dyDescent="0.2">
      <c r="A474" s="4">
        <v>4.2</v>
      </c>
      <c r="B474" s="6">
        <v>1</v>
      </c>
    </row>
    <row r="475" spans="1:2" x14ac:dyDescent="0.2">
      <c r="A475" s="4">
        <v>1.1000000000000001</v>
      </c>
      <c r="B475" s="6">
        <v>0</v>
      </c>
    </row>
    <row r="476" spans="1:2" x14ac:dyDescent="0.2">
      <c r="A476" s="4">
        <v>3.3</v>
      </c>
      <c r="B476" s="6">
        <v>0</v>
      </c>
    </row>
    <row r="477" spans="1:2" x14ac:dyDescent="0.2">
      <c r="A477" s="4">
        <v>5</v>
      </c>
      <c r="B477" s="6">
        <v>0</v>
      </c>
    </row>
    <row r="478" spans="1:2" x14ac:dyDescent="0.2">
      <c r="A478" s="4">
        <v>4.4000000000000004</v>
      </c>
      <c r="B478" s="6">
        <v>0</v>
      </c>
    </row>
    <row r="479" spans="1:2" x14ac:dyDescent="0.2">
      <c r="A479" s="4">
        <v>3.1</v>
      </c>
      <c r="B479" s="6">
        <v>0</v>
      </c>
    </row>
    <row r="480" spans="1:2" x14ac:dyDescent="0.2">
      <c r="A480" s="4">
        <v>1.3</v>
      </c>
      <c r="B480" s="6">
        <v>1</v>
      </c>
    </row>
    <row r="481" spans="1:2" x14ac:dyDescent="0.2">
      <c r="A481" s="4">
        <v>4.3</v>
      </c>
      <c r="B481" s="6">
        <v>0</v>
      </c>
    </row>
    <row r="482" spans="1:2" x14ac:dyDescent="0.2">
      <c r="A482" s="4">
        <v>3.4</v>
      </c>
      <c r="B482" s="6">
        <v>0</v>
      </c>
    </row>
    <row r="483" spans="1:2" x14ac:dyDescent="0.2">
      <c r="A483" s="4">
        <v>1.5</v>
      </c>
      <c r="B483" s="6">
        <v>0</v>
      </c>
    </row>
    <row r="484" spans="1:2" x14ac:dyDescent="0.2">
      <c r="A484" s="4">
        <v>1.4</v>
      </c>
      <c r="B484" s="6">
        <v>0</v>
      </c>
    </row>
    <row r="485" spans="1:2" x14ac:dyDescent="0.2">
      <c r="A485" s="4">
        <v>4.5999999999999996</v>
      </c>
      <c r="B485" s="6">
        <v>1</v>
      </c>
    </row>
    <row r="486" spans="1:2" x14ac:dyDescent="0.2">
      <c r="A486" s="4">
        <v>3.7</v>
      </c>
      <c r="B486" s="6">
        <v>0</v>
      </c>
    </row>
    <row r="487" spans="1:2" x14ac:dyDescent="0.2">
      <c r="A487" s="4">
        <v>4.3</v>
      </c>
      <c r="B487" s="6">
        <v>0</v>
      </c>
    </row>
    <row r="488" spans="1:2" x14ac:dyDescent="0.2">
      <c r="A488" s="4">
        <v>4.5</v>
      </c>
      <c r="B488" s="6">
        <v>1</v>
      </c>
    </row>
    <row r="489" spans="1:2" x14ac:dyDescent="0.2">
      <c r="A489" s="4">
        <v>3.3</v>
      </c>
      <c r="B489" s="6">
        <v>0</v>
      </c>
    </row>
    <row r="490" spans="1:2" x14ac:dyDescent="0.2">
      <c r="A490" s="4">
        <v>3.1</v>
      </c>
      <c r="B490" s="6">
        <v>0</v>
      </c>
    </row>
    <row r="491" spans="1:2" x14ac:dyDescent="0.2">
      <c r="A491" s="4">
        <v>2.7</v>
      </c>
      <c r="B491" s="6">
        <v>0</v>
      </c>
    </row>
    <row r="492" spans="1:2" x14ac:dyDescent="0.2">
      <c r="A492" s="4">
        <v>2.2999999999999998</v>
      </c>
      <c r="B492" s="6">
        <v>0</v>
      </c>
    </row>
    <row r="493" spans="1:2" x14ac:dyDescent="0.2">
      <c r="A493" s="4">
        <v>2.7</v>
      </c>
      <c r="B493" s="6">
        <v>1</v>
      </c>
    </row>
    <row r="494" spans="1:2" x14ac:dyDescent="0.2">
      <c r="A494" s="4">
        <v>4.0999999999999996</v>
      </c>
      <c r="B494" s="6">
        <v>1</v>
      </c>
    </row>
    <row r="495" spans="1:2" x14ac:dyDescent="0.2">
      <c r="A495" s="4">
        <v>3.4</v>
      </c>
      <c r="B495" s="6">
        <v>0</v>
      </c>
    </row>
    <row r="496" spans="1:2" x14ac:dyDescent="0.2">
      <c r="A496" s="4">
        <v>4.5999999999999996</v>
      </c>
      <c r="B496" s="6">
        <v>1</v>
      </c>
    </row>
    <row r="497" spans="1:2" x14ac:dyDescent="0.2">
      <c r="A497" s="4">
        <v>2.8</v>
      </c>
      <c r="B497" s="6">
        <v>0</v>
      </c>
    </row>
    <row r="498" spans="1:2" x14ac:dyDescent="0.2">
      <c r="A498" s="4">
        <v>3.4</v>
      </c>
      <c r="B498" s="6">
        <v>0</v>
      </c>
    </row>
    <row r="499" spans="1:2" x14ac:dyDescent="0.2">
      <c r="A499" s="4">
        <v>3.5</v>
      </c>
      <c r="B499" s="6">
        <v>0</v>
      </c>
    </row>
    <row r="500" spans="1:2" x14ac:dyDescent="0.2">
      <c r="A500" s="4">
        <v>3.4</v>
      </c>
      <c r="B500" s="6">
        <v>0</v>
      </c>
    </row>
    <row r="501" spans="1:2" x14ac:dyDescent="0.2">
      <c r="A501" s="4">
        <v>3.8</v>
      </c>
      <c r="B501" s="6"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29ED-6BE2-40F8-9D67-076115BE9F36}">
  <dimension ref="A1:E501"/>
  <sheetViews>
    <sheetView workbookViewId="0">
      <selection activeCell="M24" sqref="M24"/>
    </sheetView>
  </sheetViews>
  <sheetFormatPr defaultRowHeight="12.75" x14ac:dyDescent="0.2"/>
  <cols>
    <col min="1" max="1" width="15.140625" style="6" customWidth="1"/>
    <col min="2" max="2" width="22.5703125" style="6" customWidth="1"/>
    <col min="4" max="4" width="18.7109375" bestFit="1" customWidth="1"/>
    <col min="5" max="5" width="29.28515625" bestFit="1" customWidth="1"/>
    <col min="7" max="7" width="18.7109375" bestFit="1" customWidth="1"/>
    <col min="8" max="8" width="29" bestFit="1" customWidth="1"/>
  </cols>
  <sheetData>
    <row r="1" spans="1:5" x14ac:dyDescent="0.2">
      <c r="A1" s="5" t="s">
        <v>17</v>
      </c>
      <c r="B1" s="5" t="s">
        <v>10</v>
      </c>
      <c r="D1" s="28" t="s">
        <v>28</v>
      </c>
      <c r="E1" t="s">
        <v>33</v>
      </c>
    </row>
    <row r="2" spans="1:5" x14ac:dyDescent="0.2">
      <c r="A2" s="6">
        <v>1</v>
      </c>
      <c r="B2" s="6">
        <v>2</v>
      </c>
      <c r="D2" s="13">
        <v>0</v>
      </c>
      <c r="E2" s="29">
        <v>29.404255319148938</v>
      </c>
    </row>
    <row r="3" spans="1:5" x14ac:dyDescent="0.2">
      <c r="A3" s="6">
        <v>0</v>
      </c>
      <c r="B3" s="6">
        <v>10</v>
      </c>
      <c r="D3" s="13">
        <v>1</v>
      </c>
      <c r="E3" s="29">
        <v>29.782258064516128</v>
      </c>
    </row>
    <row r="4" spans="1:5" x14ac:dyDescent="0.2">
      <c r="A4" s="6">
        <v>0</v>
      </c>
      <c r="B4" s="6">
        <v>56</v>
      </c>
      <c r="D4" s="13" t="s">
        <v>29</v>
      </c>
      <c r="E4" s="29">
        <v>29.498000000000001</v>
      </c>
    </row>
    <row r="5" spans="1:5" x14ac:dyDescent="0.2">
      <c r="A5" s="6">
        <v>0</v>
      </c>
      <c r="B5" s="6">
        <v>30</v>
      </c>
    </row>
    <row r="6" spans="1:5" x14ac:dyDescent="0.2">
      <c r="A6" s="6">
        <v>0</v>
      </c>
      <c r="B6" s="6">
        <v>50</v>
      </c>
    </row>
    <row r="7" spans="1:5" x14ac:dyDescent="0.2">
      <c r="A7" s="6">
        <v>0</v>
      </c>
      <c r="B7" s="6">
        <v>59</v>
      </c>
    </row>
    <row r="8" spans="1:5" x14ac:dyDescent="0.2">
      <c r="A8" s="6">
        <v>0</v>
      </c>
      <c r="B8" s="6">
        <v>45</v>
      </c>
    </row>
    <row r="9" spans="1:5" x14ac:dyDescent="0.2">
      <c r="A9" s="6">
        <v>0</v>
      </c>
      <c r="B9" s="6">
        <v>5</v>
      </c>
    </row>
    <row r="10" spans="1:5" x14ac:dyDescent="0.2">
      <c r="A10" s="6">
        <v>1</v>
      </c>
      <c r="B10" s="6">
        <v>55</v>
      </c>
    </row>
    <row r="11" spans="1:5" x14ac:dyDescent="0.2">
      <c r="A11" s="6">
        <v>0</v>
      </c>
      <c r="B11" s="6">
        <v>56</v>
      </c>
    </row>
    <row r="12" spans="1:5" x14ac:dyDescent="0.2">
      <c r="A12" s="6">
        <v>1</v>
      </c>
      <c r="B12" s="6">
        <v>33</v>
      </c>
    </row>
    <row r="13" spans="1:5" x14ac:dyDescent="0.2">
      <c r="A13" s="6">
        <v>0</v>
      </c>
      <c r="B13" s="6">
        <v>54</v>
      </c>
    </row>
    <row r="14" spans="1:5" x14ac:dyDescent="0.2">
      <c r="A14" s="6">
        <v>0</v>
      </c>
      <c r="B14" s="6">
        <v>1</v>
      </c>
    </row>
    <row r="15" spans="1:5" x14ac:dyDescent="0.2">
      <c r="A15" s="6">
        <v>0</v>
      </c>
      <c r="B15" s="6">
        <v>18</v>
      </c>
    </row>
    <row r="16" spans="1:5" x14ac:dyDescent="0.2">
      <c r="A16" s="6">
        <v>0</v>
      </c>
      <c r="B16" s="6">
        <v>32</v>
      </c>
    </row>
    <row r="17" spans="1:2" x14ac:dyDescent="0.2">
      <c r="A17" s="6">
        <v>0</v>
      </c>
      <c r="B17" s="6">
        <v>47</v>
      </c>
    </row>
    <row r="18" spans="1:2" x14ac:dyDescent="0.2">
      <c r="A18" s="6">
        <v>0</v>
      </c>
      <c r="B18" s="6">
        <v>49</v>
      </c>
    </row>
    <row r="19" spans="1:2" x14ac:dyDescent="0.2">
      <c r="A19" s="6">
        <v>0</v>
      </c>
      <c r="B19" s="6">
        <v>11</v>
      </c>
    </row>
    <row r="20" spans="1:2" x14ac:dyDescent="0.2">
      <c r="A20" s="6">
        <v>0</v>
      </c>
      <c r="B20" s="6">
        <v>21</v>
      </c>
    </row>
    <row r="21" spans="1:2" x14ac:dyDescent="0.2">
      <c r="A21" s="6">
        <v>1</v>
      </c>
      <c r="B21" s="6">
        <v>26</v>
      </c>
    </row>
    <row r="22" spans="1:2" x14ac:dyDescent="0.2">
      <c r="A22" s="6">
        <v>1</v>
      </c>
      <c r="B22" s="6">
        <v>25</v>
      </c>
    </row>
    <row r="23" spans="1:2" x14ac:dyDescent="0.2">
      <c r="A23" s="6">
        <v>0</v>
      </c>
      <c r="B23" s="6">
        <v>22</v>
      </c>
    </row>
    <row r="24" spans="1:2" x14ac:dyDescent="0.2">
      <c r="A24" s="6">
        <v>0</v>
      </c>
      <c r="B24" s="6">
        <v>59</v>
      </c>
    </row>
    <row r="25" spans="1:2" x14ac:dyDescent="0.2">
      <c r="A25" s="6">
        <v>0</v>
      </c>
      <c r="B25" s="6">
        <v>27</v>
      </c>
    </row>
    <row r="26" spans="1:2" x14ac:dyDescent="0.2">
      <c r="A26" s="6">
        <v>0</v>
      </c>
      <c r="B26" s="6">
        <v>49</v>
      </c>
    </row>
    <row r="27" spans="1:2" x14ac:dyDescent="0.2">
      <c r="A27" s="6">
        <v>0</v>
      </c>
      <c r="B27" s="6">
        <v>13</v>
      </c>
    </row>
    <row r="28" spans="1:2" x14ac:dyDescent="0.2">
      <c r="A28" s="6">
        <v>0</v>
      </c>
      <c r="B28" s="6">
        <v>33</v>
      </c>
    </row>
    <row r="29" spans="1:2" x14ac:dyDescent="0.2">
      <c r="A29" s="6">
        <v>0</v>
      </c>
      <c r="B29" s="6">
        <v>34</v>
      </c>
    </row>
    <row r="30" spans="1:2" x14ac:dyDescent="0.2">
      <c r="A30" s="6">
        <v>0</v>
      </c>
      <c r="B30" s="6">
        <v>41</v>
      </c>
    </row>
    <row r="31" spans="1:2" x14ac:dyDescent="0.2">
      <c r="A31" s="6">
        <v>0</v>
      </c>
      <c r="B31" s="6">
        <v>35</v>
      </c>
    </row>
    <row r="32" spans="1:2" x14ac:dyDescent="0.2">
      <c r="A32" s="6">
        <v>1</v>
      </c>
      <c r="B32" s="6">
        <v>1</v>
      </c>
    </row>
    <row r="33" spans="1:2" x14ac:dyDescent="0.2">
      <c r="A33" s="6">
        <v>1</v>
      </c>
      <c r="B33" s="6">
        <v>21</v>
      </c>
    </row>
    <row r="34" spans="1:2" x14ac:dyDescent="0.2">
      <c r="A34" s="6">
        <v>0</v>
      </c>
      <c r="B34" s="6">
        <v>48</v>
      </c>
    </row>
    <row r="35" spans="1:2" x14ac:dyDescent="0.2">
      <c r="A35" s="6">
        <v>1</v>
      </c>
      <c r="B35" s="6">
        <v>55</v>
      </c>
    </row>
    <row r="36" spans="1:2" x14ac:dyDescent="0.2">
      <c r="A36" s="6">
        <v>1</v>
      </c>
      <c r="B36" s="6">
        <v>6</v>
      </c>
    </row>
    <row r="37" spans="1:2" x14ac:dyDescent="0.2">
      <c r="A37" s="6">
        <v>0</v>
      </c>
      <c r="B37" s="6">
        <v>28</v>
      </c>
    </row>
    <row r="38" spans="1:2" x14ac:dyDescent="0.2">
      <c r="A38" s="6">
        <v>0</v>
      </c>
      <c r="B38" s="6">
        <v>17</v>
      </c>
    </row>
    <row r="39" spans="1:2" x14ac:dyDescent="0.2">
      <c r="A39" s="6">
        <v>0</v>
      </c>
      <c r="B39" s="6">
        <v>5</v>
      </c>
    </row>
    <row r="40" spans="1:2" x14ac:dyDescent="0.2">
      <c r="A40" s="6">
        <v>1</v>
      </c>
      <c r="B40" s="6">
        <v>31</v>
      </c>
    </row>
    <row r="41" spans="1:2" x14ac:dyDescent="0.2">
      <c r="A41" s="6">
        <v>1</v>
      </c>
      <c r="B41" s="6">
        <v>5</v>
      </c>
    </row>
    <row r="42" spans="1:2" x14ac:dyDescent="0.2">
      <c r="A42" s="6">
        <v>0</v>
      </c>
      <c r="B42" s="6">
        <v>38</v>
      </c>
    </row>
    <row r="43" spans="1:2" x14ac:dyDescent="0.2">
      <c r="A43" s="6">
        <v>0</v>
      </c>
      <c r="B43" s="6">
        <v>3</v>
      </c>
    </row>
    <row r="44" spans="1:2" x14ac:dyDescent="0.2">
      <c r="A44" s="6">
        <v>0</v>
      </c>
      <c r="B44" s="6">
        <v>53</v>
      </c>
    </row>
    <row r="45" spans="1:2" x14ac:dyDescent="0.2">
      <c r="A45" s="6">
        <v>0</v>
      </c>
      <c r="B45" s="6">
        <v>23</v>
      </c>
    </row>
    <row r="46" spans="1:2" x14ac:dyDescent="0.2">
      <c r="A46" s="6">
        <v>0</v>
      </c>
      <c r="B46" s="6">
        <v>37</v>
      </c>
    </row>
    <row r="47" spans="1:2" x14ac:dyDescent="0.2">
      <c r="A47" s="6">
        <v>1</v>
      </c>
      <c r="B47" s="6">
        <v>53</v>
      </c>
    </row>
    <row r="48" spans="1:2" x14ac:dyDescent="0.2">
      <c r="A48" s="6">
        <v>0</v>
      </c>
      <c r="B48" s="6">
        <v>37</v>
      </c>
    </row>
    <row r="49" spans="1:2" x14ac:dyDescent="0.2">
      <c r="A49" s="6">
        <v>1</v>
      </c>
      <c r="B49" s="6">
        <v>10</v>
      </c>
    </row>
    <row r="50" spans="1:2" x14ac:dyDescent="0.2">
      <c r="A50" s="6">
        <v>1</v>
      </c>
      <c r="B50" s="6">
        <v>10</v>
      </c>
    </row>
    <row r="51" spans="1:2" x14ac:dyDescent="0.2">
      <c r="A51" s="6">
        <v>0</v>
      </c>
      <c r="B51" s="6">
        <v>19</v>
      </c>
    </row>
    <row r="52" spans="1:2" x14ac:dyDescent="0.2">
      <c r="A52" s="6">
        <v>0</v>
      </c>
      <c r="B52" s="6">
        <v>17</v>
      </c>
    </row>
    <row r="53" spans="1:2" x14ac:dyDescent="0.2">
      <c r="A53" s="6">
        <v>0</v>
      </c>
      <c r="B53" s="6">
        <v>21</v>
      </c>
    </row>
    <row r="54" spans="1:2" x14ac:dyDescent="0.2">
      <c r="A54" s="6">
        <v>0</v>
      </c>
      <c r="B54" s="6">
        <v>14</v>
      </c>
    </row>
    <row r="55" spans="1:2" x14ac:dyDescent="0.2">
      <c r="A55" s="6">
        <v>0</v>
      </c>
      <c r="B55" s="6">
        <v>9</v>
      </c>
    </row>
    <row r="56" spans="1:2" x14ac:dyDescent="0.2">
      <c r="A56" s="6">
        <v>0</v>
      </c>
      <c r="B56" s="6">
        <v>46</v>
      </c>
    </row>
    <row r="57" spans="1:2" x14ac:dyDescent="0.2">
      <c r="A57" s="6">
        <v>0</v>
      </c>
      <c r="B57" s="6">
        <v>1</v>
      </c>
    </row>
    <row r="58" spans="1:2" x14ac:dyDescent="0.2">
      <c r="A58" s="6">
        <v>0</v>
      </c>
      <c r="B58" s="6">
        <v>51</v>
      </c>
    </row>
    <row r="59" spans="1:2" x14ac:dyDescent="0.2">
      <c r="A59" s="6">
        <v>0</v>
      </c>
      <c r="B59" s="6">
        <v>45</v>
      </c>
    </row>
    <row r="60" spans="1:2" x14ac:dyDescent="0.2">
      <c r="A60" s="6">
        <v>0</v>
      </c>
      <c r="B60" s="6">
        <v>13</v>
      </c>
    </row>
    <row r="61" spans="1:2" x14ac:dyDescent="0.2">
      <c r="A61" s="6">
        <v>0</v>
      </c>
      <c r="B61" s="6">
        <v>4</v>
      </c>
    </row>
    <row r="62" spans="1:2" x14ac:dyDescent="0.2">
      <c r="A62" s="6">
        <v>0</v>
      </c>
      <c r="B62" s="6">
        <v>1</v>
      </c>
    </row>
    <row r="63" spans="1:2" x14ac:dyDescent="0.2">
      <c r="A63" s="6">
        <v>0</v>
      </c>
      <c r="B63" s="6">
        <v>49</v>
      </c>
    </row>
    <row r="64" spans="1:2" x14ac:dyDescent="0.2">
      <c r="A64" s="6">
        <v>0</v>
      </c>
      <c r="B64" s="6">
        <v>40</v>
      </c>
    </row>
    <row r="65" spans="1:2" x14ac:dyDescent="0.2">
      <c r="A65" s="6">
        <v>0</v>
      </c>
      <c r="B65" s="6">
        <v>32</v>
      </c>
    </row>
    <row r="66" spans="1:2" x14ac:dyDescent="0.2">
      <c r="A66" s="6">
        <v>0</v>
      </c>
      <c r="B66" s="6">
        <v>34</v>
      </c>
    </row>
    <row r="67" spans="1:2" x14ac:dyDescent="0.2">
      <c r="A67" s="6">
        <v>0</v>
      </c>
      <c r="B67" s="6">
        <v>28</v>
      </c>
    </row>
    <row r="68" spans="1:2" x14ac:dyDescent="0.2">
      <c r="A68" s="6">
        <v>0</v>
      </c>
      <c r="B68" s="6">
        <v>31</v>
      </c>
    </row>
    <row r="69" spans="1:2" x14ac:dyDescent="0.2">
      <c r="A69" s="6">
        <v>1</v>
      </c>
      <c r="B69" s="6">
        <v>8</v>
      </c>
    </row>
    <row r="70" spans="1:2" x14ac:dyDescent="0.2">
      <c r="A70" s="6">
        <v>0</v>
      </c>
      <c r="B70" s="6">
        <v>39</v>
      </c>
    </row>
    <row r="71" spans="1:2" x14ac:dyDescent="0.2">
      <c r="A71" s="6">
        <v>0</v>
      </c>
      <c r="B71" s="6">
        <v>26</v>
      </c>
    </row>
    <row r="72" spans="1:2" x14ac:dyDescent="0.2">
      <c r="A72" s="6">
        <v>0</v>
      </c>
      <c r="B72" s="6">
        <v>58</v>
      </c>
    </row>
    <row r="73" spans="1:2" x14ac:dyDescent="0.2">
      <c r="A73" s="6">
        <v>0</v>
      </c>
      <c r="B73" s="6">
        <v>34</v>
      </c>
    </row>
    <row r="74" spans="1:2" x14ac:dyDescent="0.2">
      <c r="A74" s="6">
        <v>0</v>
      </c>
      <c r="B74" s="6">
        <v>54</v>
      </c>
    </row>
    <row r="75" spans="1:2" x14ac:dyDescent="0.2">
      <c r="A75" s="6">
        <v>0</v>
      </c>
      <c r="B75" s="6">
        <v>54</v>
      </c>
    </row>
    <row r="76" spans="1:2" x14ac:dyDescent="0.2">
      <c r="A76" s="6">
        <v>0</v>
      </c>
      <c r="B76" s="6">
        <v>3</v>
      </c>
    </row>
    <row r="77" spans="1:2" x14ac:dyDescent="0.2">
      <c r="A77" s="6">
        <v>0</v>
      </c>
      <c r="B77" s="6">
        <v>59</v>
      </c>
    </row>
    <row r="78" spans="1:2" x14ac:dyDescent="0.2">
      <c r="A78" s="6">
        <v>0</v>
      </c>
      <c r="B78" s="6">
        <v>50</v>
      </c>
    </row>
    <row r="79" spans="1:2" x14ac:dyDescent="0.2">
      <c r="A79" s="6">
        <v>0</v>
      </c>
      <c r="B79" s="6">
        <v>12</v>
      </c>
    </row>
    <row r="80" spans="1:2" x14ac:dyDescent="0.2">
      <c r="A80" s="6">
        <v>0</v>
      </c>
      <c r="B80" s="6">
        <v>1</v>
      </c>
    </row>
    <row r="81" spans="1:2" x14ac:dyDescent="0.2">
      <c r="A81" s="6">
        <v>1</v>
      </c>
      <c r="B81" s="6">
        <v>54</v>
      </c>
    </row>
    <row r="82" spans="1:2" x14ac:dyDescent="0.2">
      <c r="A82" s="6">
        <v>0</v>
      </c>
      <c r="B82" s="6">
        <v>44</v>
      </c>
    </row>
    <row r="83" spans="1:2" x14ac:dyDescent="0.2">
      <c r="A83" s="6">
        <v>0</v>
      </c>
      <c r="B83" s="6">
        <v>5</v>
      </c>
    </row>
    <row r="84" spans="1:2" x14ac:dyDescent="0.2">
      <c r="A84" s="6">
        <v>0</v>
      </c>
      <c r="B84" s="6">
        <v>30</v>
      </c>
    </row>
    <row r="85" spans="1:2" x14ac:dyDescent="0.2">
      <c r="A85" s="6">
        <v>0</v>
      </c>
      <c r="B85" s="6">
        <v>30</v>
      </c>
    </row>
    <row r="86" spans="1:2" x14ac:dyDescent="0.2">
      <c r="A86" s="6">
        <v>0</v>
      </c>
      <c r="B86" s="6">
        <v>59</v>
      </c>
    </row>
    <row r="87" spans="1:2" x14ac:dyDescent="0.2">
      <c r="A87" s="6">
        <v>0</v>
      </c>
      <c r="B87" s="6">
        <v>57</v>
      </c>
    </row>
    <row r="88" spans="1:2" x14ac:dyDescent="0.2">
      <c r="A88" s="6">
        <v>0</v>
      </c>
      <c r="B88" s="6">
        <v>17</v>
      </c>
    </row>
    <row r="89" spans="1:2" x14ac:dyDescent="0.2">
      <c r="A89" s="6">
        <v>0</v>
      </c>
      <c r="B89" s="6">
        <v>48</v>
      </c>
    </row>
    <row r="90" spans="1:2" x14ac:dyDescent="0.2">
      <c r="A90" s="6">
        <v>0</v>
      </c>
      <c r="B90" s="6">
        <v>47</v>
      </c>
    </row>
    <row r="91" spans="1:2" x14ac:dyDescent="0.2">
      <c r="A91" s="6">
        <v>0</v>
      </c>
      <c r="B91" s="6">
        <v>23</v>
      </c>
    </row>
    <row r="92" spans="1:2" x14ac:dyDescent="0.2">
      <c r="A92" s="6">
        <v>1</v>
      </c>
      <c r="B92" s="6">
        <v>15</v>
      </c>
    </row>
    <row r="93" spans="1:2" x14ac:dyDescent="0.2">
      <c r="A93" s="6">
        <v>0</v>
      </c>
      <c r="B93" s="6">
        <v>37</v>
      </c>
    </row>
    <row r="94" spans="1:2" x14ac:dyDescent="0.2">
      <c r="A94" s="6">
        <v>0</v>
      </c>
      <c r="B94" s="6">
        <v>21</v>
      </c>
    </row>
    <row r="95" spans="1:2" x14ac:dyDescent="0.2">
      <c r="A95" s="6">
        <v>0</v>
      </c>
      <c r="B95" s="6">
        <v>14</v>
      </c>
    </row>
    <row r="96" spans="1:2" x14ac:dyDescent="0.2">
      <c r="A96" s="6">
        <v>0</v>
      </c>
      <c r="B96" s="6">
        <v>2</v>
      </c>
    </row>
    <row r="97" spans="1:2" x14ac:dyDescent="0.2">
      <c r="A97" s="6">
        <v>0</v>
      </c>
      <c r="B97" s="6">
        <v>11</v>
      </c>
    </row>
    <row r="98" spans="1:2" x14ac:dyDescent="0.2">
      <c r="A98" s="6">
        <v>0</v>
      </c>
      <c r="B98" s="6">
        <v>51</v>
      </c>
    </row>
    <row r="99" spans="1:2" x14ac:dyDescent="0.2">
      <c r="A99" s="6">
        <v>0</v>
      </c>
      <c r="B99" s="6">
        <v>39</v>
      </c>
    </row>
    <row r="100" spans="1:2" x14ac:dyDescent="0.2">
      <c r="A100" s="6">
        <v>0</v>
      </c>
      <c r="B100" s="6">
        <v>38</v>
      </c>
    </row>
    <row r="101" spans="1:2" x14ac:dyDescent="0.2">
      <c r="A101" s="6">
        <v>0</v>
      </c>
      <c r="B101" s="6">
        <v>34</v>
      </c>
    </row>
    <row r="102" spans="1:2" x14ac:dyDescent="0.2">
      <c r="A102" s="6">
        <v>0</v>
      </c>
      <c r="B102" s="6">
        <v>38</v>
      </c>
    </row>
    <row r="103" spans="1:2" x14ac:dyDescent="0.2">
      <c r="A103" s="6">
        <v>1</v>
      </c>
      <c r="B103" s="6">
        <v>50</v>
      </c>
    </row>
    <row r="104" spans="1:2" x14ac:dyDescent="0.2">
      <c r="A104" s="6">
        <v>0</v>
      </c>
      <c r="B104" s="6">
        <v>34</v>
      </c>
    </row>
    <row r="105" spans="1:2" x14ac:dyDescent="0.2">
      <c r="A105" s="6">
        <v>0</v>
      </c>
      <c r="B105" s="6">
        <v>18</v>
      </c>
    </row>
    <row r="106" spans="1:2" x14ac:dyDescent="0.2">
      <c r="A106" s="6">
        <v>0</v>
      </c>
      <c r="B106" s="6">
        <v>30</v>
      </c>
    </row>
    <row r="107" spans="1:2" x14ac:dyDescent="0.2">
      <c r="A107" s="6">
        <v>0</v>
      </c>
      <c r="B107" s="6">
        <v>15</v>
      </c>
    </row>
    <row r="108" spans="1:2" x14ac:dyDescent="0.2">
      <c r="A108" s="6">
        <v>1</v>
      </c>
      <c r="B108" s="6">
        <v>27</v>
      </c>
    </row>
    <row r="109" spans="1:2" x14ac:dyDescent="0.2">
      <c r="A109" s="6">
        <v>0</v>
      </c>
      <c r="B109" s="6">
        <v>51</v>
      </c>
    </row>
    <row r="110" spans="1:2" x14ac:dyDescent="0.2">
      <c r="A110" s="6">
        <v>0</v>
      </c>
      <c r="B110" s="6">
        <v>34</v>
      </c>
    </row>
    <row r="111" spans="1:2" x14ac:dyDescent="0.2">
      <c r="A111" s="6">
        <v>0</v>
      </c>
      <c r="B111" s="6">
        <v>52</v>
      </c>
    </row>
    <row r="112" spans="1:2" x14ac:dyDescent="0.2">
      <c r="A112" s="6">
        <v>0</v>
      </c>
      <c r="B112" s="6">
        <v>57</v>
      </c>
    </row>
    <row r="113" spans="1:2" x14ac:dyDescent="0.2">
      <c r="A113" s="6">
        <v>0</v>
      </c>
      <c r="B113" s="6">
        <v>38</v>
      </c>
    </row>
    <row r="114" spans="1:2" x14ac:dyDescent="0.2">
      <c r="A114" s="6">
        <v>0</v>
      </c>
      <c r="B114" s="6">
        <v>33</v>
      </c>
    </row>
    <row r="115" spans="1:2" x14ac:dyDescent="0.2">
      <c r="A115" s="6">
        <v>0</v>
      </c>
      <c r="B115" s="6">
        <v>24</v>
      </c>
    </row>
    <row r="116" spans="1:2" x14ac:dyDescent="0.2">
      <c r="A116" s="6">
        <v>0</v>
      </c>
      <c r="B116" s="6">
        <v>15</v>
      </c>
    </row>
    <row r="117" spans="1:2" x14ac:dyDescent="0.2">
      <c r="A117" s="6">
        <v>0</v>
      </c>
      <c r="B117" s="6">
        <v>30</v>
      </c>
    </row>
    <row r="118" spans="1:2" x14ac:dyDescent="0.2">
      <c r="A118" s="6">
        <v>1</v>
      </c>
      <c r="B118" s="6">
        <v>55</v>
      </c>
    </row>
    <row r="119" spans="1:2" x14ac:dyDescent="0.2">
      <c r="A119" s="6">
        <v>1</v>
      </c>
      <c r="B119" s="6">
        <v>42</v>
      </c>
    </row>
    <row r="120" spans="1:2" x14ac:dyDescent="0.2">
      <c r="A120" s="6">
        <v>1</v>
      </c>
      <c r="B120" s="6">
        <v>51</v>
      </c>
    </row>
    <row r="121" spans="1:2" x14ac:dyDescent="0.2">
      <c r="A121" s="6">
        <v>0</v>
      </c>
      <c r="B121" s="6">
        <v>17</v>
      </c>
    </row>
    <row r="122" spans="1:2" x14ac:dyDescent="0.2">
      <c r="A122" s="6">
        <v>0</v>
      </c>
      <c r="B122" s="6">
        <v>5</v>
      </c>
    </row>
    <row r="123" spans="1:2" x14ac:dyDescent="0.2">
      <c r="A123" s="6">
        <v>1</v>
      </c>
      <c r="B123" s="6">
        <v>29</v>
      </c>
    </row>
    <row r="124" spans="1:2" x14ac:dyDescent="0.2">
      <c r="A124" s="6">
        <v>0</v>
      </c>
      <c r="B124" s="6">
        <v>4</v>
      </c>
    </row>
    <row r="125" spans="1:2" x14ac:dyDescent="0.2">
      <c r="A125" s="6">
        <v>0</v>
      </c>
      <c r="B125" s="6">
        <v>10</v>
      </c>
    </row>
    <row r="126" spans="1:2" x14ac:dyDescent="0.2">
      <c r="A126" s="6">
        <v>1</v>
      </c>
      <c r="B126" s="6">
        <v>56</v>
      </c>
    </row>
    <row r="127" spans="1:2" x14ac:dyDescent="0.2">
      <c r="A127" s="6">
        <v>1</v>
      </c>
      <c r="B127" s="6">
        <v>17</v>
      </c>
    </row>
    <row r="128" spans="1:2" x14ac:dyDescent="0.2">
      <c r="A128" s="6">
        <v>0</v>
      </c>
      <c r="B128" s="6">
        <v>10</v>
      </c>
    </row>
    <row r="129" spans="1:2" x14ac:dyDescent="0.2">
      <c r="A129" s="6">
        <v>0</v>
      </c>
      <c r="B129" s="6">
        <v>17</v>
      </c>
    </row>
    <row r="130" spans="1:2" x14ac:dyDescent="0.2">
      <c r="A130" s="6">
        <v>0</v>
      </c>
      <c r="B130" s="6">
        <v>20</v>
      </c>
    </row>
    <row r="131" spans="1:2" x14ac:dyDescent="0.2">
      <c r="A131" s="6">
        <v>1</v>
      </c>
      <c r="B131" s="6">
        <v>24</v>
      </c>
    </row>
    <row r="132" spans="1:2" x14ac:dyDescent="0.2">
      <c r="A132" s="6">
        <v>1</v>
      </c>
      <c r="B132" s="6">
        <v>5</v>
      </c>
    </row>
    <row r="133" spans="1:2" x14ac:dyDescent="0.2">
      <c r="A133" s="6">
        <v>0</v>
      </c>
      <c r="B133" s="6">
        <v>34</v>
      </c>
    </row>
    <row r="134" spans="1:2" x14ac:dyDescent="0.2">
      <c r="A134" s="6">
        <v>0</v>
      </c>
      <c r="B134" s="6">
        <v>6</v>
      </c>
    </row>
    <row r="135" spans="1:2" x14ac:dyDescent="0.2">
      <c r="A135" s="6">
        <v>1</v>
      </c>
      <c r="B135" s="6">
        <v>53</v>
      </c>
    </row>
    <row r="136" spans="1:2" x14ac:dyDescent="0.2">
      <c r="A136" s="6">
        <v>0</v>
      </c>
      <c r="B136" s="6">
        <v>2</v>
      </c>
    </row>
    <row r="137" spans="1:2" x14ac:dyDescent="0.2">
      <c r="A137" s="6">
        <v>0</v>
      </c>
      <c r="B137" s="6">
        <v>13</v>
      </c>
    </row>
    <row r="138" spans="1:2" x14ac:dyDescent="0.2">
      <c r="A138" s="6">
        <v>1</v>
      </c>
      <c r="B138" s="6">
        <v>43</v>
      </c>
    </row>
    <row r="139" spans="1:2" x14ac:dyDescent="0.2">
      <c r="A139" s="6">
        <v>0</v>
      </c>
      <c r="B139" s="6">
        <v>43</v>
      </c>
    </row>
    <row r="140" spans="1:2" x14ac:dyDescent="0.2">
      <c r="A140" s="6">
        <v>0</v>
      </c>
      <c r="B140" s="6">
        <v>48</v>
      </c>
    </row>
    <row r="141" spans="1:2" x14ac:dyDescent="0.2">
      <c r="A141" s="6">
        <v>0</v>
      </c>
      <c r="B141" s="6">
        <v>11</v>
      </c>
    </row>
    <row r="142" spans="1:2" x14ac:dyDescent="0.2">
      <c r="A142" s="6">
        <v>0</v>
      </c>
      <c r="B142" s="6">
        <v>51</v>
      </c>
    </row>
    <row r="143" spans="1:2" x14ac:dyDescent="0.2">
      <c r="A143" s="6">
        <v>1</v>
      </c>
      <c r="B143" s="6">
        <v>47</v>
      </c>
    </row>
    <row r="144" spans="1:2" x14ac:dyDescent="0.2">
      <c r="A144" s="6">
        <v>0</v>
      </c>
      <c r="B144" s="6">
        <v>57</v>
      </c>
    </row>
    <row r="145" spans="1:2" x14ac:dyDescent="0.2">
      <c r="A145" s="6">
        <v>1</v>
      </c>
      <c r="B145" s="6">
        <v>23</v>
      </c>
    </row>
    <row r="146" spans="1:2" x14ac:dyDescent="0.2">
      <c r="A146" s="6">
        <v>0</v>
      </c>
      <c r="B146" s="6">
        <v>55</v>
      </c>
    </row>
    <row r="147" spans="1:2" x14ac:dyDescent="0.2">
      <c r="A147" s="6">
        <v>0</v>
      </c>
      <c r="B147" s="6">
        <v>16</v>
      </c>
    </row>
    <row r="148" spans="1:2" x14ac:dyDescent="0.2">
      <c r="A148" s="6">
        <v>0</v>
      </c>
      <c r="B148" s="6">
        <v>31</v>
      </c>
    </row>
    <row r="149" spans="1:2" x14ac:dyDescent="0.2">
      <c r="A149" s="6">
        <v>0</v>
      </c>
      <c r="B149" s="6">
        <v>11</v>
      </c>
    </row>
    <row r="150" spans="1:2" x14ac:dyDescent="0.2">
      <c r="A150" s="6">
        <v>0</v>
      </c>
      <c r="B150" s="6">
        <v>54</v>
      </c>
    </row>
    <row r="151" spans="1:2" x14ac:dyDescent="0.2">
      <c r="A151" s="6">
        <v>0</v>
      </c>
      <c r="B151" s="6">
        <v>16</v>
      </c>
    </row>
    <row r="152" spans="1:2" x14ac:dyDescent="0.2">
      <c r="A152" s="6">
        <v>0</v>
      </c>
      <c r="B152" s="6">
        <v>8</v>
      </c>
    </row>
    <row r="153" spans="1:2" x14ac:dyDescent="0.2">
      <c r="A153" s="6">
        <v>0</v>
      </c>
      <c r="B153" s="6">
        <v>4</v>
      </c>
    </row>
    <row r="154" spans="1:2" x14ac:dyDescent="0.2">
      <c r="A154" s="6">
        <v>0</v>
      </c>
      <c r="B154" s="6">
        <v>40</v>
      </c>
    </row>
    <row r="155" spans="1:2" x14ac:dyDescent="0.2">
      <c r="A155" s="6">
        <v>0</v>
      </c>
      <c r="B155" s="6">
        <v>4</v>
      </c>
    </row>
    <row r="156" spans="1:2" x14ac:dyDescent="0.2">
      <c r="A156" s="6">
        <v>0</v>
      </c>
      <c r="B156" s="6">
        <v>56</v>
      </c>
    </row>
    <row r="157" spans="1:2" x14ac:dyDescent="0.2">
      <c r="A157" s="6">
        <v>0</v>
      </c>
      <c r="B157" s="6">
        <v>25</v>
      </c>
    </row>
    <row r="158" spans="1:2" x14ac:dyDescent="0.2">
      <c r="A158" s="6">
        <v>0</v>
      </c>
      <c r="B158" s="6">
        <v>3</v>
      </c>
    </row>
    <row r="159" spans="1:2" x14ac:dyDescent="0.2">
      <c r="A159" s="6">
        <v>0</v>
      </c>
      <c r="B159" s="6">
        <v>32</v>
      </c>
    </row>
    <row r="160" spans="1:2" x14ac:dyDescent="0.2">
      <c r="A160" s="6">
        <v>0</v>
      </c>
      <c r="B160" s="6">
        <v>3</v>
      </c>
    </row>
    <row r="161" spans="1:2" x14ac:dyDescent="0.2">
      <c r="A161" s="6">
        <v>0</v>
      </c>
      <c r="B161" s="6">
        <v>27</v>
      </c>
    </row>
    <row r="162" spans="1:2" x14ac:dyDescent="0.2">
      <c r="A162" s="6">
        <v>1</v>
      </c>
      <c r="B162" s="6">
        <v>29</v>
      </c>
    </row>
    <row r="163" spans="1:2" x14ac:dyDescent="0.2">
      <c r="A163" s="6">
        <v>1</v>
      </c>
      <c r="B163" s="6">
        <v>32</v>
      </c>
    </row>
    <row r="164" spans="1:2" x14ac:dyDescent="0.2">
      <c r="A164" s="6">
        <v>0</v>
      </c>
      <c r="B164" s="6">
        <v>50</v>
      </c>
    </row>
    <row r="165" spans="1:2" x14ac:dyDescent="0.2">
      <c r="A165" s="6">
        <v>0</v>
      </c>
      <c r="B165" s="6">
        <v>58</v>
      </c>
    </row>
    <row r="166" spans="1:2" x14ac:dyDescent="0.2">
      <c r="A166" s="6">
        <v>1</v>
      </c>
      <c r="B166" s="6">
        <v>51</v>
      </c>
    </row>
    <row r="167" spans="1:2" x14ac:dyDescent="0.2">
      <c r="A167" s="6">
        <v>0</v>
      </c>
      <c r="B167" s="6">
        <v>19</v>
      </c>
    </row>
    <row r="168" spans="1:2" x14ac:dyDescent="0.2">
      <c r="A168" s="6">
        <v>1</v>
      </c>
      <c r="B168" s="6">
        <v>21</v>
      </c>
    </row>
    <row r="169" spans="1:2" x14ac:dyDescent="0.2">
      <c r="A169" s="6">
        <v>1</v>
      </c>
      <c r="B169" s="6">
        <v>5</v>
      </c>
    </row>
    <row r="170" spans="1:2" x14ac:dyDescent="0.2">
      <c r="A170" s="6">
        <v>1</v>
      </c>
      <c r="B170" s="6">
        <v>18</v>
      </c>
    </row>
    <row r="171" spans="1:2" x14ac:dyDescent="0.2">
      <c r="A171" s="6">
        <v>0</v>
      </c>
      <c r="B171" s="6">
        <v>28</v>
      </c>
    </row>
    <row r="172" spans="1:2" x14ac:dyDescent="0.2">
      <c r="A172" s="6">
        <v>0</v>
      </c>
      <c r="B172" s="6">
        <v>42</v>
      </c>
    </row>
    <row r="173" spans="1:2" x14ac:dyDescent="0.2">
      <c r="A173" s="6">
        <v>0</v>
      </c>
      <c r="B173" s="6">
        <v>22</v>
      </c>
    </row>
    <row r="174" spans="1:2" x14ac:dyDescent="0.2">
      <c r="A174" s="6">
        <v>0</v>
      </c>
      <c r="B174" s="6">
        <v>21</v>
      </c>
    </row>
    <row r="175" spans="1:2" x14ac:dyDescent="0.2">
      <c r="A175" s="6">
        <v>0</v>
      </c>
      <c r="B175" s="6">
        <v>6</v>
      </c>
    </row>
    <row r="176" spans="1:2" x14ac:dyDescent="0.2">
      <c r="A176" s="6">
        <v>0</v>
      </c>
      <c r="B176" s="6">
        <v>1</v>
      </c>
    </row>
    <row r="177" spans="1:2" x14ac:dyDescent="0.2">
      <c r="A177" s="6">
        <v>0</v>
      </c>
      <c r="B177" s="6">
        <v>5</v>
      </c>
    </row>
    <row r="178" spans="1:2" x14ac:dyDescent="0.2">
      <c r="A178" s="6">
        <v>1</v>
      </c>
      <c r="B178" s="6">
        <v>41</v>
      </c>
    </row>
    <row r="179" spans="1:2" x14ac:dyDescent="0.2">
      <c r="A179" s="6">
        <v>0</v>
      </c>
      <c r="B179" s="6">
        <v>12</v>
      </c>
    </row>
    <row r="180" spans="1:2" x14ac:dyDescent="0.2">
      <c r="A180" s="6">
        <v>1</v>
      </c>
      <c r="B180" s="6">
        <v>26</v>
      </c>
    </row>
    <row r="181" spans="1:2" x14ac:dyDescent="0.2">
      <c r="A181" s="6">
        <v>1</v>
      </c>
      <c r="B181" s="6">
        <v>46</v>
      </c>
    </row>
    <row r="182" spans="1:2" x14ac:dyDescent="0.2">
      <c r="A182" s="6">
        <v>0</v>
      </c>
      <c r="B182" s="6">
        <v>34</v>
      </c>
    </row>
    <row r="183" spans="1:2" x14ac:dyDescent="0.2">
      <c r="A183" s="6">
        <v>0</v>
      </c>
      <c r="B183" s="6">
        <v>49</v>
      </c>
    </row>
    <row r="184" spans="1:2" x14ac:dyDescent="0.2">
      <c r="A184" s="6">
        <v>1</v>
      </c>
      <c r="B184" s="6">
        <v>14</v>
      </c>
    </row>
    <row r="185" spans="1:2" x14ac:dyDescent="0.2">
      <c r="A185" s="6">
        <v>0</v>
      </c>
      <c r="B185" s="6">
        <v>26</v>
      </c>
    </row>
    <row r="186" spans="1:2" x14ac:dyDescent="0.2">
      <c r="A186" s="6">
        <v>0</v>
      </c>
      <c r="B186" s="6">
        <v>45</v>
      </c>
    </row>
    <row r="187" spans="1:2" x14ac:dyDescent="0.2">
      <c r="A187" s="6">
        <v>0</v>
      </c>
      <c r="B187" s="6">
        <v>27</v>
      </c>
    </row>
    <row r="188" spans="1:2" x14ac:dyDescent="0.2">
      <c r="A188" s="6">
        <v>0</v>
      </c>
      <c r="B188" s="6">
        <v>9</v>
      </c>
    </row>
    <row r="189" spans="1:2" x14ac:dyDescent="0.2">
      <c r="A189" s="6">
        <v>0</v>
      </c>
      <c r="B189" s="6">
        <v>26</v>
      </c>
    </row>
    <row r="190" spans="1:2" x14ac:dyDescent="0.2">
      <c r="A190" s="6">
        <v>0</v>
      </c>
      <c r="B190" s="6">
        <v>57</v>
      </c>
    </row>
    <row r="191" spans="1:2" x14ac:dyDescent="0.2">
      <c r="A191" s="6">
        <v>0</v>
      </c>
      <c r="B191" s="6">
        <v>47</v>
      </c>
    </row>
    <row r="192" spans="1:2" x14ac:dyDescent="0.2">
      <c r="A192" s="6">
        <v>0</v>
      </c>
      <c r="B192" s="6">
        <v>57</v>
      </c>
    </row>
    <row r="193" spans="1:2" x14ac:dyDescent="0.2">
      <c r="A193" s="6">
        <v>0</v>
      </c>
      <c r="B193" s="6">
        <v>22</v>
      </c>
    </row>
    <row r="194" spans="1:2" x14ac:dyDescent="0.2">
      <c r="A194" s="6">
        <v>0</v>
      </c>
      <c r="B194" s="6">
        <v>47</v>
      </c>
    </row>
    <row r="195" spans="1:2" x14ac:dyDescent="0.2">
      <c r="A195" s="6">
        <v>0</v>
      </c>
      <c r="B195" s="6">
        <v>56</v>
      </c>
    </row>
    <row r="196" spans="1:2" x14ac:dyDescent="0.2">
      <c r="A196" s="6">
        <v>1</v>
      </c>
      <c r="B196" s="6">
        <v>30</v>
      </c>
    </row>
    <row r="197" spans="1:2" x14ac:dyDescent="0.2">
      <c r="A197" s="6">
        <v>0</v>
      </c>
      <c r="B197" s="6">
        <v>43</v>
      </c>
    </row>
    <row r="198" spans="1:2" x14ac:dyDescent="0.2">
      <c r="A198" s="6">
        <v>0</v>
      </c>
      <c r="B198" s="6">
        <v>48</v>
      </c>
    </row>
    <row r="199" spans="1:2" x14ac:dyDescent="0.2">
      <c r="A199" s="6">
        <v>0</v>
      </c>
      <c r="B199" s="6">
        <v>17</v>
      </c>
    </row>
    <row r="200" spans="1:2" x14ac:dyDescent="0.2">
      <c r="A200" s="6">
        <v>0</v>
      </c>
      <c r="B200" s="6">
        <v>26</v>
      </c>
    </row>
    <row r="201" spans="1:2" x14ac:dyDescent="0.2">
      <c r="A201" s="6">
        <v>0</v>
      </c>
      <c r="B201" s="6">
        <v>36</v>
      </c>
    </row>
    <row r="202" spans="1:2" x14ac:dyDescent="0.2">
      <c r="A202" s="6">
        <v>1</v>
      </c>
      <c r="B202" s="6">
        <v>1</v>
      </c>
    </row>
    <row r="203" spans="1:2" x14ac:dyDescent="0.2">
      <c r="A203" s="6">
        <v>0</v>
      </c>
      <c r="B203" s="6">
        <v>8</v>
      </c>
    </row>
    <row r="204" spans="1:2" x14ac:dyDescent="0.2">
      <c r="A204" s="6">
        <v>1</v>
      </c>
      <c r="B204" s="6">
        <v>49</v>
      </c>
    </row>
    <row r="205" spans="1:2" x14ac:dyDescent="0.2">
      <c r="A205" s="6">
        <v>0</v>
      </c>
      <c r="B205" s="6">
        <v>35</v>
      </c>
    </row>
    <row r="206" spans="1:2" x14ac:dyDescent="0.2">
      <c r="A206" s="6">
        <v>0</v>
      </c>
      <c r="B206" s="6">
        <v>52</v>
      </c>
    </row>
    <row r="207" spans="1:2" x14ac:dyDescent="0.2">
      <c r="A207" s="6">
        <v>0</v>
      </c>
      <c r="B207" s="6">
        <v>15</v>
      </c>
    </row>
    <row r="208" spans="1:2" x14ac:dyDescent="0.2">
      <c r="A208" s="6">
        <v>1</v>
      </c>
      <c r="B208" s="6">
        <v>47</v>
      </c>
    </row>
    <row r="209" spans="1:2" x14ac:dyDescent="0.2">
      <c r="A209" s="6">
        <v>0</v>
      </c>
      <c r="B209" s="6">
        <v>56</v>
      </c>
    </row>
    <row r="210" spans="1:2" x14ac:dyDescent="0.2">
      <c r="A210" s="6">
        <v>0</v>
      </c>
      <c r="B210" s="6">
        <v>22</v>
      </c>
    </row>
    <row r="211" spans="1:2" x14ac:dyDescent="0.2">
      <c r="A211" s="6">
        <v>0</v>
      </c>
      <c r="B211" s="6">
        <v>14</v>
      </c>
    </row>
    <row r="212" spans="1:2" x14ac:dyDescent="0.2">
      <c r="A212" s="6">
        <v>0</v>
      </c>
      <c r="B212" s="6">
        <v>26</v>
      </c>
    </row>
    <row r="213" spans="1:2" x14ac:dyDescent="0.2">
      <c r="A213" s="6">
        <v>0</v>
      </c>
      <c r="B213" s="6">
        <v>28</v>
      </c>
    </row>
    <row r="214" spans="1:2" x14ac:dyDescent="0.2">
      <c r="A214" s="6">
        <v>0</v>
      </c>
      <c r="B214" s="6">
        <v>23</v>
      </c>
    </row>
    <row r="215" spans="1:2" x14ac:dyDescent="0.2">
      <c r="A215" s="6">
        <v>0</v>
      </c>
      <c r="B215" s="6">
        <v>14</v>
      </c>
    </row>
    <row r="216" spans="1:2" x14ac:dyDescent="0.2">
      <c r="A216" s="6">
        <v>0</v>
      </c>
      <c r="B216" s="6">
        <v>24</v>
      </c>
    </row>
    <row r="217" spans="1:2" x14ac:dyDescent="0.2">
      <c r="A217" s="6">
        <v>0</v>
      </c>
      <c r="B217" s="6">
        <v>2</v>
      </c>
    </row>
    <row r="218" spans="1:2" x14ac:dyDescent="0.2">
      <c r="A218" s="6">
        <v>1</v>
      </c>
      <c r="B218" s="6">
        <v>45</v>
      </c>
    </row>
    <row r="219" spans="1:2" x14ac:dyDescent="0.2">
      <c r="A219" s="6">
        <v>1</v>
      </c>
      <c r="B219" s="6">
        <v>26</v>
      </c>
    </row>
    <row r="220" spans="1:2" x14ac:dyDescent="0.2">
      <c r="A220" s="6">
        <v>1</v>
      </c>
      <c r="B220" s="6">
        <v>14</v>
      </c>
    </row>
    <row r="221" spans="1:2" x14ac:dyDescent="0.2">
      <c r="A221" s="6">
        <v>0</v>
      </c>
      <c r="B221" s="6">
        <v>59</v>
      </c>
    </row>
    <row r="222" spans="1:2" x14ac:dyDescent="0.2">
      <c r="A222" s="6">
        <v>0</v>
      </c>
      <c r="B222" s="6">
        <v>56</v>
      </c>
    </row>
    <row r="223" spans="1:2" x14ac:dyDescent="0.2">
      <c r="A223" s="6">
        <v>0</v>
      </c>
      <c r="B223" s="6">
        <v>51</v>
      </c>
    </row>
    <row r="224" spans="1:2" x14ac:dyDescent="0.2">
      <c r="A224" s="6">
        <v>0</v>
      </c>
      <c r="B224" s="6">
        <v>7</v>
      </c>
    </row>
    <row r="225" spans="1:2" x14ac:dyDescent="0.2">
      <c r="A225" s="6">
        <v>0</v>
      </c>
      <c r="B225" s="6">
        <v>3</v>
      </c>
    </row>
    <row r="226" spans="1:2" x14ac:dyDescent="0.2">
      <c r="A226" s="6">
        <v>0</v>
      </c>
      <c r="B226" s="6">
        <v>47</v>
      </c>
    </row>
    <row r="227" spans="1:2" x14ac:dyDescent="0.2">
      <c r="A227" s="6">
        <v>0</v>
      </c>
      <c r="B227" s="6">
        <v>23</v>
      </c>
    </row>
    <row r="228" spans="1:2" x14ac:dyDescent="0.2">
      <c r="A228" s="6">
        <v>0</v>
      </c>
      <c r="B228" s="6">
        <v>46</v>
      </c>
    </row>
    <row r="229" spans="1:2" x14ac:dyDescent="0.2">
      <c r="A229" s="6">
        <v>1</v>
      </c>
      <c r="B229" s="6">
        <v>43</v>
      </c>
    </row>
    <row r="230" spans="1:2" x14ac:dyDescent="0.2">
      <c r="A230" s="6">
        <v>0</v>
      </c>
      <c r="B230" s="6">
        <v>47</v>
      </c>
    </row>
    <row r="231" spans="1:2" x14ac:dyDescent="0.2">
      <c r="A231" s="6">
        <v>0</v>
      </c>
      <c r="B231" s="6">
        <v>45</v>
      </c>
    </row>
    <row r="232" spans="1:2" x14ac:dyDescent="0.2">
      <c r="A232" s="6">
        <v>0</v>
      </c>
      <c r="B232" s="6">
        <v>18</v>
      </c>
    </row>
    <row r="233" spans="1:2" x14ac:dyDescent="0.2">
      <c r="A233" s="6">
        <v>0</v>
      </c>
      <c r="B233" s="6">
        <v>58</v>
      </c>
    </row>
    <row r="234" spans="1:2" x14ac:dyDescent="0.2">
      <c r="A234" s="6">
        <v>0</v>
      </c>
      <c r="B234" s="6">
        <v>38</v>
      </c>
    </row>
    <row r="235" spans="1:2" x14ac:dyDescent="0.2">
      <c r="A235" s="6">
        <v>1</v>
      </c>
      <c r="B235" s="6">
        <v>35</v>
      </c>
    </row>
    <row r="236" spans="1:2" x14ac:dyDescent="0.2">
      <c r="A236" s="6">
        <v>1</v>
      </c>
      <c r="B236" s="6">
        <v>51</v>
      </c>
    </row>
    <row r="237" spans="1:2" x14ac:dyDescent="0.2">
      <c r="A237" s="6">
        <v>0</v>
      </c>
      <c r="B237" s="6">
        <v>15</v>
      </c>
    </row>
    <row r="238" spans="1:2" x14ac:dyDescent="0.2">
      <c r="A238" s="6">
        <v>1</v>
      </c>
      <c r="B238" s="6">
        <v>25</v>
      </c>
    </row>
    <row r="239" spans="1:2" x14ac:dyDescent="0.2">
      <c r="A239" s="6">
        <v>1</v>
      </c>
      <c r="B239" s="6">
        <v>55</v>
      </c>
    </row>
    <row r="240" spans="1:2" x14ac:dyDescent="0.2">
      <c r="A240" s="6">
        <v>1</v>
      </c>
      <c r="B240" s="6">
        <v>37</v>
      </c>
    </row>
    <row r="241" spans="1:2" x14ac:dyDescent="0.2">
      <c r="A241" s="6">
        <v>1</v>
      </c>
      <c r="B241" s="6">
        <v>28</v>
      </c>
    </row>
    <row r="242" spans="1:2" x14ac:dyDescent="0.2">
      <c r="A242" s="6">
        <v>0</v>
      </c>
      <c r="B242" s="6">
        <v>10</v>
      </c>
    </row>
    <row r="243" spans="1:2" x14ac:dyDescent="0.2">
      <c r="A243" s="6">
        <v>0</v>
      </c>
      <c r="B243" s="6">
        <v>39</v>
      </c>
    </row>
    <row r="244" spans="1:2" x14ac:dyDescent="0.2">
      <c r="A244" s="6">
        <v>0</v>
      </c>
      <c r="B244" s="6">
        <v>57</v>
      </c>
    </row>
    <row r="245" spans="1:2" x14ac:dyDescent="0.2">
      <c r="A245" s="6">
        <v>0</v>
      </c>
      <c r="B245" s="6">
        <v>17</v>
      </c>
    </row>
    <row r="246" spans="1:2" x14ac:dyDescent="0.2">
      <c r="A246" s="6">
        <v>1</v>
      </c>
      <c r="B246" s="6">
        <v>39</v>
      </c>
    </row>
    <row r="247" spans="1:2" x14ac:dyDescent="0.2">
      <c r="A247" s="6">
        <v>0</v>
      </c>
      <c r="B247" s="6">
        <v>22</v>
      </c>
    </row>
    <row r="248" spans="1:2" x14ac:dyDescent="0.2">
      <c r="A248" s="6">
        <v>0</v>
      </c>
      <c r="B248" s="6">
        <v>26</v>
      </c>
    </row>
    <row r="249" spans="1:2" x14ac:dyDescent="0.2">
      <c r="A249" s="6">
        <v>1</v>
      </c>
      <c r="B249" s="6">
        <v>44</v>
      </c>
    </row>
    <row r="250" spans="1:2" x14ac:dyDescent="0.2">
      <c r="A250" s="6">
        <v>1</v>
      </c>
      <c r="B250" s="6">
        <v>25</v>
      </c>
    </row>
    <row r="251" spans="1:2" x14ac:dyDescent="0.2">
      <c r="A251" s="6">
        <v>1</v>
      </c>
      <c r="B251" s="6">
        <v>17</v>
      </c>
    </row>
    <row r="252" spans="1:2" x14ac:dyDescent="0.2">
      <c r="A252" s="6">
        <v>0</v>
      </c>
      <c r="B252" s="6">
        <v>13</v>
      </c>
    </row>
    <row r="253" spans="1:2" x14ac:dyDescent="0.2">
      <c r="A253" s="6">
        <v>0</v>
      </c>
      <c r="B253" s="6">
        <v>20</v>
      </c>
    </row>
    <row r="254" spans="1:2" x14ac:dyDescent="0.2">
      <c r="A254" s="6">
        <v>0</v>
      </c>
      <c r="B254" s="6">
        <v>25</v>
      </c>
    </row>
    <row r="255" spans="1:2" x14ac:dyDescent="0.2">
      <c r="A255" s="6">
        <v>0</v>
      </c>
      <c r="B255" s="6">
        <v>4</v>
      </c>
    </row>
    <row r="256" spans="1:2" x14ac:dyDescent="0.2">
      <c r="A256" s="6">
        <v>0</v>
      </c>
      <c r="B256" s="6">
        <v>10</v>
      </c>
    </row>
    <row r="257" spans="1:2" x14ac:dyDescent="0.2">
      <c r="A257" s="6">
        <v>0</v>
      </c>
      <c r="B257" s="6">
        <v>3</v>
      </c>
    </row>
    <row r="258" spans="1:2" x14ac:dyDescent="0.2">
      <c r="A258" s="6">
        <v>1</v>
      </c>
      <c r="B258" s="6">
        <v>41</v>
      </c>
    </row>
    <row r="259" spans="1:2" x14ac:dyDescent="0.2">
      <c r="A259" s="6">
        <v>0</v>
      </c>
      <c r="B259" s="6">
        <v>45</v>
      </c>
    </row>
    <row r="260" spans="1:2" x14ac:dyDescent="0.2">
      <c r="A260" s="6">
        <v>0</v>
      </c>
      <c r="B260" s="6">
        <v>18</v>
      </c>
    </row>
    <row r="261" spans="1:2" x14ac:dyDescent="0.2">
      <c r="A261" s="6">
        <v>0</v>
      </c>
      <c r="B261" s="6">
        <v>47</v>
      </c>
    </row>
    <row r="262" spans="1:2" x14ac:dyDescent="0.2">
      <c r="A262" s="6">
        <v>0</v>
      </c>
      <c r="B262" s="6">
        <v>36</v>
      </c>
    </row>
    <row r="263" spans="1:2" x14ac:dyDescent="0.2">
      <c r="A263" s="6">
        <v>0</v>
      </c>
      <c r="B263" s="6">
        <v>47</v>
      </c>
    </row>
    <row r="264" spans="1:2" x14ac:dyDescent="0.2">
      <c r="A264" s="6">
        <v>1</v>
      </c>
      <c r="B264" s="6">
        <v>22</v>
      </c>
    </row>
    <row r="265" spans="1:2" x14ac:dyDescent="0.2">
      <c r="A265" s="6">
        <v>0</v>
      </c>
      <c r="B265" s="6">
        <v>34</v>
      </c>
    </row>
    <row r="266" spans="1:2" x14ac:dyDescent="0.2">
      <c r="A266" s="6">
        <v>1</v>
      </c>
      <c r="B266" s="6">
        <v>47</v>
      </c>
    </row>
    <row r="267" spans="1:2" x14ac:dyDescent="0.2">
      <c r="A267" s="6">
        <v>0</v>
      </c>
      <c r="B267" s="6">
        <v>8</v>
      </c>
    </row>
    <row r="268" spans="1:2" x14ac:dyDescent="0.2">
      <c r="A268" s="6">
        <v>1</v>
      </c>
      <c r="B268" s="6">
        <v>40</v>
      </c>
    </row>
    <row r="269" spans="1:2" x14ac:dyDescent="0.2">
      <c r="A269" s="6">
        <v>0</v>
      </c>
      <c r="B269" s="6">
        <v>49</v>
      </c>
    </row>
    <row r="270" spans="1:2" x14ac:dyDescent="0.2">
      <c r="A270" s="6">
        <v>0</v>
      </c>
      <c r="B270" s="6">
        <v>44</v>
      </c>
    </row>
    <row r="271" spans="1:2" x14ac:dyDescent="0.2">
      <c r="A271" s="6">
        <v>0</v>
      </c>
      <c r="B271" s="6">
        <v>19</v>
      </c>
    </row>
    <row r="272" spans="1:2" x14ac:dyDescent="0.2">
      <c r="A272" s="6">
        <v>1</v>
      </c>
      <c r="B272" s="6">
        <v>42</v>
      </c>
    </row>
    <row r="273" spans="1:2" x14ac:dyDescent="0.2">
      <c r="A273" s="6">
        <v>0</v>
      </c>
      <c r="B273" s="6">
        <v>41</v>
      </c>
    </row>
    <row r="274" spans="1:2" x14ac:dyDescent="0.2">
      <c r="A274" s="6">
        <v>0</v>
      </c>
      <c r="B274" s="6">
        <v>37</v>
      </c>
    </row>
    <row r="275" spans="1:2" x14ac:dyDescent="0.2">
      <c r="A275" s="6">
        <v>1</v>
      </c>
      <c r="B275" s="6">
        <v>6</v>
      </c>
    </row>
    <row r="276" spans="1:2" x14ac:dyDescent="0.2">
      <c r="A276" s="6">
        <v>1</v>
      </c>
      <c r="B276" s="6">
        <v>52</v>
      </c>
    </row>
    <row r="277" spans="1:2" x14ac:dyDescent="0.2">
      <c r="A277" s="6">
        <v>0</v>
      </c>
      <c r="B277" s="6">
        <v>26</v>
      </c>
    </row>
    <row r="278" spans="1:2" x14ac:dyDescent="0.2">
      <c r="A278" s="6">
        <v>0</v>
      </c>
      <c r="B278" s="6">
        <v>34</v>
      </c>
    </row>
    <row r="279" spans="1:2" x14ac:dyDescent="0.2">
      <c r="A279" s="6">
        <v>0</v>
      </c>
      <c r="B279" s="6">
        <v>59</v>
      </c>
    </row>
    <row r="280" spans="1:2" x14ac:dyDescent="0.2">
      <c r="A280" s="6">
        <v>0</v>
      </c>
      <c r="B280" s="6">
        <v>56</v>
      </c>
    </row>
    <row r="281" spans="1:2" x14ac:dyDescent="0.2">
      <c r="A281" s="6">
        <v>0</v>
      </c>
      <c r="B281" s="6">
        <v>59</v>
      </c>
    </row>
    <row r="282" spans="1:2" x14ac:dyDescent="0.2">
      <c r="A282" s="6">
        <v>1</v>
      </c>
      <c r="B282" s="6">
        <v>45</v>
      </c>
    </row>
    <row r="283" spans="1:2" x14ac:dyDescent="0.2">
      <c r="A283" s="6">
        <v>1</v>
      </c>
      <c r="B283" s="6">
        <v>6</v>
      </c>
    </row>
    <row r="284" spans="1:2" x14ac:dyDescent="0.2">
      <c r="A284" s="6">
        <v>0</v>
      </c>
      <c r="B284" s="6">
        <v>37</v>
      </c>
    </row>
    <row r="285" spans="1:2" x14ac:dyDescent="0.2">
      <c r="A285" s="6">
        <v>0</v>
      </c>
      <c r="B285" s="6">
        <v>57</v>
      </c>
    </row>
    <row r="286" spans="1:2" x14ac:dyDescent="0.2">
      <c r="A286" s="6">
        <v>0</v>
      </c>
      <c r="B286" s="6">
        <v>33</v>
      </c>
    </row>
    <row r="287" spans="1:2" x14ac:dyDescent="0.2">
      <c r="A287" s="6">
        <v>1</v>
      </c>
      <c r="B287" s="6">
        <v>53</v>
      </c>
    </row>
    <row r="288" spans="1:2" x14ac:dyDescent="0.2">
      <c r="A288" s="6">
        <v>1</v>
      </c>
      <c r="B288" s="6">
        <v>22</v>
      </c>
    </row>
    <row r="289" spans="1:2" x14ac:dyDescent="0.2">
      <c r="A289" s="6">
        <v>0</v>
      </c>
      <c r="B289" s="6">
        <v>21</v>
      </c>
    </row>
    <row r="290" spans="1:2" x14ac:dyDescent="0.2">
      <c r="A290" s="6">
        <v>1</v>
      </c>
      <c r="B290" s="6">
        <v>6</v>
      </c>
    </row>
    <row r="291" spans="1:2" x14ac:dyDescent="0.2">
      <c r="A291" s="6">
        <v>0</v>
      </c>
      <c r="B291" s="6">
        <v>6</v>
      </c>
    </row>
    <row r="292" spans="1:2" x14ac:dyDescent="0.2">
      <c r="A292" s="6">
        <v>0</v>
      </c>
      <c r="B292" s="6">
        <v>55</v>
      </c>
    </row>
    <row r="293" spans="1:2" x14ac:dyDescent="0.2">
      <c r="A293" s="6">
        <v>0</v>
      </c>
      <c r="B293" s="6">
        <v>48</v>
      </c>
    </row>
    <row r="294" spans="1:2" x14ac:dyDescent="0.2">
      <c r="A294" s="6">
        <v>0</v>
      </c>
      <c r="B294" s="6">
        <v>4</v>
      </c>
    </row>
    <row r="295" spans="1:2" x14ac:dyDescent="0.2">
      <c r="A295" s="6">
        <v>0</v>
      </c>
      <c r="B295" s="6">
        <v>30</v>
      </c>
    </row>
    <row r="296" spans="1:2" x14ac:dyDescent="0.2">
      <c r="A296" s="6">
        <v>0</v>
      </c>
      <c r="B296" s="6">
        <v>11</v>
      </c>
    </row>
    <row r="297" spans="1:2" x14ac:dyDescent="0.2">
      <c r="A297" s="6">
        <v>0</v>
      </c>
      <c r="B297" s="6">
        <v>30</v>
      </c>
    </row>
    <row r="298" spans="1:2" x14ac:dyDescent="0.2">
      <c r="A298" s="6">
        <v>1</v>
      </c>
      <c r="B298" s="6">
        <v>31</v>
      </c>
    </row>
    <row r="299" spans="1:2" x14ac:dyDescent="0.2">
      <c r="A299" s="6">
        <v>0</v>
      </c>
      <c r="B299" s="6">
        <v>24</v>
      </c>
    </row>
    <row r="300" spans="1:2" x14ac:dyDescent="0.2">
      <c r="A300" s="6">
        <v>0</v>
      </c>
      <c r="B300" s="6">
        <v>55</v>
      </c>
    </row>
    <row r="301" spans="1:2" x14ac:dyDescent="0.2">
      <c r="A301" s="6">
        <v>0</v>
      </c>
      <c r="B301" s="6">
        <v>9</v>
      </c>
    </row>
    <row r="302" spans="1:2" x14ac:dyDescent="0.2">
      <c r="A302" s="6">
        <v>0</v>
      </c>
      <c r="B302" s="6">
        <v>55</v>
      </c>
    </row>
    <row r="303" spans="1:2" x14ac:dyDescent="0.2">
      <c r="A303" s="6">
        <v>0</v>
      </c>
      <c r="B303" s="6">
        <v>3</v>
      </c>
    </row>
    <row r="304" spans="1:2" x14ac:dyDescent="0.2">
      <c r="A304" s="6">
        <v>0</v>
      </c>
      <c r="B304" s="6">
        <v>51</v>
      </c>
    </row>
    <row r="305" spans="1:2" x14ac:dyDescent="0.2">
      <c r="A305" s="6">
        <v>0</v>
      </c>
      <c r="B305" s="6">
        <v>31</v>
      </c>
    </row>
    <row r="306" spans="1:2" x14ac:dyDescent="0.2">
      <c r="A306" s="6">
        <v>0</v>
      </c>
      <c r="B306" s="6">
        <v>40</v>
      </c>
    </row>
    <row r="307" spans="1:2" x14ac:dyDescent="0.2">
      <c r="A307" s="6">
        <v>0</v>
      </c>
      <c r="B307" s="6">
        <v>37</v>
      </c>
    </row>
    <row r="308" spans="1:2" x14ac:dyDescent="0.2">
      <c r="A308" s="6">
        <v>0</v>
      </c>
      <c r="B308" s="6">
        <v>36</v>
      </c>
    </row>
    <row r="309" spans="1:2" x14ac:dyDescent="0.2">
      <c r="A309" s="6">
        <v>0</v>
      </c>
      <c r="B309" s="6">
        <v>24</v>
      </c>
    </row>
    <row r="310" spans="1:2" x14ac:dyDescent="0.2">
      <c r="A310" s="6">
        <v>0</v>
      </c>
      <c r="B310" s="6">
        <v>31</v>
      </c>
    </row>
    <row r="311" spans="1:2" x14ac:dyDescent="0.2">
      <c r="A311" s="6">
        <v>0</v>
      </c>
      <c r="B311" s="6">
        <v>6</v>
      </c>
    </row>
    <row r="312" spans="1:2" x14ac:dyDescent="0.2">
      <c r="A312" s="6">
        <v>1</v>
      </c>
      <c r="B312" s="6">
        <v>2</v>
      </c>
    </row>
    <row r="313" spans="1:2" x14ac:dyDescent="0.2">
      <c r="A313" s="6">
        <v>0</v>
      </c>
      <c r="B313" s="6">
        <v>20</v>
      </c>
    </row>
    <row r="314" spans="1:2" x14ac:dyDescent="0.2">
      <c r="A314" s="6">
        <v>0</v>
      </c>
      <c r="B314" s="6">
        <v>28</v>
      </c>
    </row>
    <row r="315" spans="1:2" x14ac:dyDescent="0.2">
      <c r="A315" s="6">
        <v>1</v>
      </c>
      <c r="B315" s="6">
        <v>11</v>
      </c>
    </row>
    <row r="316" spans="1:2" x14ac:dyDescent="0.2">
      <c r="A316" s="6">
        <v>0</v>
      </c>
      <c r="B316" s="6">
        <v>4</v>
      </c>
    </row>
    <row r="317" spans="1:2" x14ac:dyDescent="0.2">
      <c r="A317" s="6">
        <v>0</v>
      </c>
      <c r="B317" s="6">
        <v>15</v>
      </c>
    </row>
    <row r="318" spans="1:2" x14ac:dyDescent="0.2">
      <c r="A318" s="6">
        <v>1</v>
      </c>
      <c r="B318" s="6">
        <v>6</v>
      </c>
    </row>
    <row r="319" spans="1:2" x14ac:dyDescent="0.2">
      <c r="A319" s="6">
        <v>1</v>
      </c>
      <c r="B319" s="6">
        <v>54</v>
      </c>
    </row>
    <row r="320" spans="1:2" x14ac:dyDescent="0.2">
      <c r="A320" s="6">
        <v>1</v>
      </c>
      <c r="B320" s="6">
        <v>49</v>
      </c>
    </row>
    <row r="321" spans="1:2" x14ac:dyDescent="0.2">
      <c r="A321" s="6">
        <v>0</v>
      </c>
      <c r="B321" s="6">
        <v>30</v>
      </c>
    </row>
    <row r="322" spans="1:2" x14ac:dyDescent="0.2">
      <c r="A322" s="6">
        <v>0</v>
      </c>
      <c r="B322" s="6">
        <v>56</v>
      </c>
    </row>
    <row r="323" spans="1:2" x14ac:dyDescent="0.2">
      <c r="A323" s="6">
        <v>0</v>
      </c>
      <c r="B323" s="6">
        <v>38</v>
      </c>
    </row>
    <row r="324" spans="1:2" x14ac:dyDescent="0.2">
      <c r="A324" s="6">
        <v>0</v>
      </c>
      <c r="B324" s="6">
        <v>51</v>
      </c>
    </row>
    <row r="325" spans="1:2" x14ac:dyDescent="0.2">
      <c r="A325" s="6">
        <v>0</v>
      </c>
      <c r="B325" s="6">
        <v>57</v>
      </c>
    </row>
    <row r="326" spans="1:2" x14ac:dyDescent="0.2">
      <c r="A326" s="6">
        <v>0</v>
      </c>
      <c r="B326" s="6">
        <v>2</v>
      </c>
    </row>
    <row r="327" spans="1:2" x14ac:dyDescent="0.2">
      <c r="A327" s="6">
        <v>1</v>
      </c>
      <c r="B327" s="6">
        <v>15</v>
      </c>
    </row>
    <row r="328" spans="1:2" x14ac:dyDescent="0.2">
      <c r="A328" s="6">
        <v>0</v>
      </c>
      <c r="B328" s="6">
        <v>11</v>
      </c>
    </row>
    <row r="329" spans="1:2" x14ac:dyDescent="0.2">
      <c r="A329" s="6">
        <v>0</v>
      </c>
      <c r="B329" s="6">
        <v>8</v>
      </c>
    </row>
    <row r="330" spans="1:2" x14ac:dyDescent="0.2">
      <c r="A330" s="6">
        <v>0</v>
      </c>
      <c r="B330" s="6">
        <v>26</v>
      </c>
    </row>
    <row r="331" spans="1:2" x14ac:dyDescent="0.2">
      <c r="A331" s="6">
        <v>0</v>
      </c>
      <c r="B331" s="6">
        <v>51</v>
      </c>
    </row>
    <row r="332" spans="1:2" x14ac:dyDescent="0.2">
      <c r="A332" s="6">
        <v>0</v>
      </c>
      <c r="B332" s="6">
        <v>45</v>
      </c>
    </row>
    <row r="333" spans="1:2" x14ac:dyDescent="0.2">
      <c r="A333" s="6">
        <v>0</v>
      </c>
      <c r="B333" s="6">
        <v>44</v>
      </c>
    </row>
    <row r="334" spans="1:2" x14ac:dyDescent="0.2">
      <c r="A334" s="6">
        <v>0</v>
      </c>
      <c r="B334" s="6">
        <v>5</v>
      </c>
    </row>
    <row r="335" spans="1:2" x14ac:dyDescent="0.2">
      <c r="A335" s="6">
        <v>0</v>
      </c>
      <c r="B335" s="6">
        <v>6</v>
      </c>
    </row>
    <row r="336" spans="1:2" x14ac:dyDescent="0.2">
      <c r="A336" s="6">
        <v>1</v>
      </c>
      <c r="B336" s="6">
        <v>26</v>
      </c>
    </row>
    <row r="337" spans="1:2" x14ac:dyDescent="0.2">
      <c r="A337" s="6">
        <v>1</v>
      </c>
      <c r="B337" s="6">
        <v>54</v>
      </c>
    </row>
    <row r="338" spans="1:2" x14ac:dyDescent="0.2">
      <c r="A338" s="6">
        <v>0</v>
      </c>
      <c r="B338" s="6">
        <v>4</v>
      </c>
    </row>
    <row r="339" spans="1:2" x14ac:dyDescent="0.2">
      <c r="A339" s="6">
        <v>0</v>
      </c>
      <c r="B339" s="6">
        <v>19</v>
      </c>
    </row>
    <row r="340" spans="1:2" x14ac:dyDescent="0.2">
      <c r="A340" s="6">
        <v>1</v>
      </c>
      <c r="B340" s="6">
        <v>20</v>
      </c>
    </row>
    <row r="341" spans="1:2" x14ac:dyDescent="0.2">
      <c r="A341" s="6">
        <v>1</v>
      </c>
      <c r="B341" s="6">
        <v>33</v>
      </c>
    </row>
    <row r="342" spans="1:2" x14ac:dyDescent="0.2">
      <c r="A342" s="6">
        <v>0</v>
      </c>
      <c r="B342" s="6">
        <v>20</v>
      </c>
    </row>
    <row r="343" spans="1:2" x14ac:dyDescent="0.2">
      <c r="A343" s="6">
        <v>0</v>
      </c>
      <c r="B343" s="6">
        <v>49</v>
      </c>
    </row>
    <row r="344" spans="1:2" x14ac:dyDescent="0.2">
      <c r="A344" s="6">
        <v>0</v>
      </c>
      <c r="B344" s="6">
        <v>12</v>
      </c>
    </row>
    <row r="345" spans="1:2" x14ac:dyDescent="0.2">
      <c r="A345" s="6">
        <v>1</v>
      </c>
      <c r="B345" s="6">
        <v>47</v>
      </c>
    </row>
    <row r="346" spans="1:2" x14ac:dyDescent="0.2">
      <c r="A346" s="6">
        <v>1</v>
      </c>
      <c r="B346" s="6">
        <v>1</v>
      </c>
    </row>
    <row r="347" spans="1:2" x14ac:dyDescent="0.2">
      <c r="A347" s="6">
        <v>0</v>
      </c>
      <c r="B347" s="6">
        <v>26</v>
      </c>
    </row>
    <row r="348" spans="1:2" x14ac:dyDescent="0.2">
      <c r="A348" s="6">
        <v>1</v>
      </c>
      <c r="B348" s="6">
        <v>14</v>
      </c>
    </row>
    <row r="349" spans="1:2" x14ac:dyDescent="0.2">
      <c r="A349" s="6">
        <v>0</v>
      </c>
      <c r="B349" s="6">
        <v>38</v>
      </c>
    </row>
    <row r="350" spans="1:2" x14ac:dyDescent="0.2">
      <c r="A350" s="6">
        <v>1</v>
      </c>
      <c r="B350" s="6">
        <v>37</v>
      </c>
    </row>
    <row r="351" spans="1:2" x14ac:dyDescent="0.2">
      <c r="A351" s="6">
        <v>0</v>
      </c>
      <c r="B351" s="6">
        <v>11</v>
      </c>
    </row>
    <row r="352" spans="1:2" x14ac:dyDescent="0.2">
      <c r="A352" s="6">
        <v>1</v>
      </c>
      <c r="B352" s="6">
        <v>36</v>
      </c>
    </row>
    <row r="353" spans="1:2" x14ac:dyDescent="0.2">
      <c r="A353" s="6">
        <v>0</v>
      </c>
      <c r="B353" s="6">
        <v>13</v>
      </c>
    </row>
    <row r="354" spans="1:2" x14ac:dyDescent="0.2">
      <c r="A354" s="6">
        <v>0</v>
      </c>
      <c r="B354" s="6">
        <v>43</v>
      </c>
    </row>
    <row r="355" spans="1:2" x14ac:dyDescent="0.2">
      <c r="A355" s="6">
        <v>0</v>
      </c>
      <c r="B355" s="6">
        <v>3</v>
      </c>
    </row>
    <row r="356" spans="1:2" x14ac:dyDescent="0.2">
      <c r="A356" s="6">
        <v>1</v>
      </c>
      <c r="B356" s="6">
        <v>33</v>
      </c>
    </row>
    <row r="357" spans="1:2" x14ac:dyDescent="0.2">
      <c r="A357" s="6">
        <v>1</v>
      </c>
      <c r="B357" s="6">
        <v>6</v>
      </c>
    </row>
    <row r="358" spans="1:2" x14ac:dyDescent="0.2">
      <c r="A358" s="6">
        <v>1</v>
      </c>
      <c r="B358" s="6">
        <v>50</v>
      </c>
    </row>
    <row r="359" spans="1:2" x14ac:dyDescent="0.2">
      <c r="A359" s="6">
        <v>1</v>
      </c>
      <c r="B359" s="6">
        <v>56</v>
      </c>
    </row>
    <row r="360" spans="1:2" x14ac:dyDescent="0.2">
      <c r="A360" s="6">
        <v>0</v>
      </c>
      <c r="B360" s="6">
        <v>10</v>
      </c>
    </row>
    <row r="361" spans="1:2" x14ac:dyDescent="0.2">
      <c r="A361" s="6">
        <v>0</v>
      </c>
      <c r="B361" s="6">
        <v>5</v>
      </c>
    </row>
    <row r="362" spans="1:2" x14ac:dyDescent="0.2">
      <c r="A362" s="6">
        <v>0</v>
      </c>
      <c r="B362" s="6">
        <v>23</v>
      </c>
    </row>
    <row r="363" spans="1:2" x14ac:dyDescent="0.2">
      <c r="A363" s="6">
        <v>0</v>
      </c>
      <c r="B363" s="6">
        <v>10</v>
      </c>
    </row>
    <row r="364" spans="1:2" x14ac:dyDescent="0.2">
      <c r="A364" s="6">
        <v>0</v>
      </c>
      <c r="B364" s="6">
        <v>44</v>
      </c>
    </row>
    <row r="365" spans="1:2" x14ac:dyDescent="0.2">
      <c r="A365" s="6">
        <v>0</v>
      </c>
      <c r="B365" s="6">
        <v>2</v>
      </c>
    </row>
    <row r="366" spans="1:2" x14ac:dyDescent="0.2">
      <c r="A366" s="6">
        <v>0</v>
      </c>
      <c r="B366" s="6">
        <v>13</v>
      </c>
    </row>
    <row r="367" spans="1:2" x14ac:dyDescent="0.2">
      <c r="A367" s="6">
        <v>0</v>
      </c>
      <c r="B367" s="6">
        <v>40</v>
      </c>
    </row>
    <row r="368" spans="1:2" x14ac:dyDescent="0.2">
      <c r="A368" s="6">
        <v>0</v>
      </c>
      <c r="B368" s="6">
        <v>2</v>
      </c>
    </row>
    <row r="369" spans="1:2" x14ac:dyDescent="0.2">
      <c r="A369" s="6">
        <v>0</v>
      </c>
      <c r="B369" s="6">
        <v>20</v>
      </c>
    </row>
    <row r="370" spans="1:2" x14ac:dyDescent="0.2">
      <c r="A370" s="6">
        <v>1</v>
      </c>
      <c r="B370" s="6">
        <v>1</v>
      </c>
    </row>
    <row r="371" spans="1:2" x14ac:dyDescent="0.2">
      <c r="A371" s="6">
        <v>1</v>
      </c>
      <c r="B371" s="6">
        <v>37</v>
      </c>
    </row>
    <row r="372" spans="1:2" x14ac:dyDescent="0.2">
      <c r="A372" s="6">
        <v>1</v>
      </c>
      <c r="B372" s="6">
        <v>9</v>
      </c>
    </row>
    <row r="373" spans="1:2" x14ac:dyDescent="0.2">
      <c r="A373" s="6">
        <v>0</v>
      </c>
      <c r="B373" s="6">
        <v>17</v>
      </c>
    </row>
    <row r="374" spans="1:2" x14ac:dyDescent="0.2">
      <c r="A374" s="6">
        <v>0</v>
      </c>
      <c r="B374" s="6">
        <v>9</v>
      </c>
    </row>
    <row r="375" spans="1:2" x14ac:dyDescent="0.2">
      <c r="A375" s="6">
        <v>1</v>
      </c>
      <c r="B375" s="6">
        <v>11</v>
      </c>
    </row>
    <row r="376" spans="1:2" x14ac:dyDescent="0.2">
      <c r="A376" s="6">
        <v>0</v>
      </c>
      <c r="B376" s="6">
        <v>15</v>
      </c>
    </row>
    <row r="377" spans="1:2" x14ac:dyDescent="0.2">
      <c r="A377" s="6">
        <v>0</v>
      </c>
      <c r="B377" s="6">
        <v>24</v>
      </c>
    </row>
    <row r="378" spans="1:2" x14ac:dyDescent="0.2">
      <c r="A378" s="6">
        <v>0</v>
      </c>
      <c r="B378" s="6">
        <v>38</v>
      </c>
    </row>
    <row r="379" spans="1:2" x14ac:dyDescent="0.2">
      <c r="A379" s="6">
        <v>0</v>
      </c>
      <c r="B379" s="6">
        <v>55</v>
      </c>
    </row>
    <row r="380" spans="1:2" x14ac:dyDescent="0.2">
      <c r="A380" s="6">
        <v>0</v>
      </c>
      <c r="B380" s="6">
        <v>35</v>
      </c>
    </row>
    <row r="381" spans="1:2" x14ac:dyDescent="0.2">
      <c r="A381" s="6">
        <v>0</v>
      </c>
      <c r="B381" s="6">
        <v>30</v>
      </c>
    </row>
    <row r="382" spans="1:2" x14ac:dyDescent="0.2">
      <c r="A382" s="6">
        <v>0</v>
      </c>
      <c r="B382" s="6">
        <v>31</v>
      </c>
    </row>
    <row r="383" spans="1:2" x14ac:dyDescent="0.2">
      <c r="A383" s="6">
        <v>0</v>
      </c>
      <c r="B383" s="6">
        <v>49</v>
      </c>
    </row>
    <row r="384" spans="1:2" x14ac:dyDescent="0.2">
      <c r="A384" s="6">
        <v>0</v>
      </c>
      <c r="B384" s="6">
        <v>5</v>
      </c>
    </row>
    <row r="385" spans="1:2" x14ac:dyDescent="0.2">
      <c r="A385" s="6">
        <v>1</v>
      </c>
      <c r="B385" s="6">
        <v>44</v>
      </c>
    </row>
    <row r="386" spans="1:2" x14ac:dyDescent="0.2">
      <c r="A386" s="6">
        <v>0</v>
      </c>
      <c r="B386" s="6">
        <v>50</v>
      </c>
    </row>
    <row r="387" spans="1:2" x14ac:dyDescent="0.2">
      <c r="A387" s="6">
        <v>0</v>
      </c>
      <c r="B387" s="6">
        <v>14</v>
      </c>
    </row>
    <row r="388" spans="1:2" x14ac:dyDescent="0.2">
      <c r="A388" s="6">
        <v>1</v>
      </c>
      <c r="B388" s="6">
        <v>53</v>
      </c>
    </row>
    <row r="389" spans="1:2" x14ac:dyDescent="0.2">
      <c r="A389" s="6">
        <v>0</v>
      </c>
      <c r="B389" s="6">
        <v>56</v>
      </c>
    </row>
    <row r="390" spans="1:2" x14ac:dyDescent="0.2">
      <c r="A390" s="6">
        <v>0</v>
      </c>
      <c r="B390" s="6">
        <v>11</v>
      </c>
    </row>
    <row r="391" spans="1:2" x14ac:dyDescent="0.2">
      <c r="A391" s="6">
        <v>0</v>
      </c>
      <c r="B391" s="6">
        <v>9</v>
      </c>
    </row>
    <row r="392" spans="1:2" x14ac:dyDescent="0.2">
      <c r="A392" s="6">
        <v>0</v>
      </c>
      <c r="B392" s="6">
        <v>34</v>
      </c>
    </row>
    <row r="393" spans="1:2" x14ac:dyDescent="0.2">
      <c r="A393" s="6">
        <v>0</v>
      </c>
      <c r="B393" s="6">
        <v>12</v>
      </c>
    </row>
    <row r="394" spans="1:2" x14ac:dyDescent="0.2">
      <c r="A394" s="6">
        <v>1</v>
      </c>
      <c r="B394" s="6">
        <v>35</v>
      </c>
    </row>
    <row r="395" spans="1:2" x14ac:dyDescent="0.2">
      <c r="A395" s="6">
        <v>0</v>
      </c>
      <c r="B395" s="6">
        <v>35</v>
      </c>
    </row>
    <row r="396" spans="1:2" x14ac:dyDescent="0.2">
      <c r="A396" s="6">
        <v>0</v>
      </c>
      <c r="B396" s="6">
        <v>1</v>
      </c>
    </row>
    <row r="397" spans="1:2" x14ac:dyDescent="0.2">
      <c r="A397" s="6">
        <v>0</v>
      </c>
      <c r="B397" s="6">
        <v>40</v>
      </c>
    </row>
    <row r="398" spans="1:2" x14ac:dyDescent="0.2">
      <c r="A398" s="6">
        <v>0</v>
      </c>
      <c r="B398" s="6">
        <v>22</v>
      </c>
    </row>
    <row r="399" spans="1:2" x14ac:dyDescent="0.2">
      <c r="A399" s="6">
        <v>0</v>
      </c>
      <c r="B399" s="6">
        <v>29</v>
      </c>
    </row>
    <row r="400" spans="1:2" x14ac:dyDescent="0.2">
      <c r="A400" s="6">
        <v>0</v>
      </c>
      <c r="B400" s="6">
        <v>8</v>
      </c>
    </row>
    <row r="401" spans="1:2" x14ac:dyDescent="0.2">
      <c r="A401" s="6">
        <v>0</v>
      </c>
      <c r="B401" s="6">
        <v>11</v>
      </c>
    </row>
    <row r="402" spans="1:2" x14ac:dyDescent="0.2">
      <c r="A402" s="6">
        <v>0</v>
      </c>
      <c r="B402" s="6">
        <v>41</v>
      </c>
    </row>
    <row r="403" spans="1:2" x14ac:dyDescent="0.2">
      <c r="A403" s="6">
        <v>0</v>
      </c>
      <c r="B403" s="6">
        <v>37</v>
      </c>
    </row>
    <row r="404" spans="1:2" x14ac:dyDescent="0.2">
      <c r="A404" s="6">
        <v>0</v>
      </c>
      <c r="B404" s="6">
        <v>14</v>
      </c>
    </row>
    <row r="405" spans="1:2" x14ac:dyDescent="0.2">
      <c r="A405" s="6">
        <v>1</v>
      </c>
      <c r="B405" s="6">
        <v>30</v>
      </c>
    </row>
    <row r="406" spans="1:2" x14ac:dyDescent="0.2">
      <c r="A406" s="6">
        <v>0</v>
      </c>
      <c r="B406" s="6">
        <v>35</v>
      </c>
    </row>
    <row r="407" spans="1:2" x14ac:dyDescent="0.2">
      <c r="A407" s="6">
        <v>0</v>
      </c>
      <c r="B407" s="6">
        <v>21</v>
      </c>
    </row>
    <row r="408" spans="1:2" x14ac:dyDescent="0.2">
      <c r="A408" s="6">
        <v>0</v>
      </c>
      <c r="B408" s="6">
        <v>37</v>
      </c>
    </row>
    <row r="409" spans="1:2" x14ac:dyDescent="0.2">
      <c r="A409" s="6">
        <v>0</v>
      </c>
      <c r="B409" s="6">
        <v>5</v>
      </c>
    </row>
    <row r="410" spans="1:2" x14ac:dyDescent="0.2">
      <c r="A410" s="6">
        <v>0</v>
      </c>
      <c r="B410" s="6">
        <v>19</v>
      </c>
    </row>
    <row r="411" spans="1:2" x14ac:dyDescent="0.2">
      <c r="A411" s="6">
        <v>0</v>
      </c>
      <c r="B411" s="6">
        <v>59</v>
      </c>
    </row>
    <row r="412" spans="1:2" x14ac:dyDescent="0.2">
      <c r="A412" s="6">
        <v>1</v>
      </c>
      <c r="B412" s="6">
        <v>14</v>
      </c>
    </row>
    <row r="413" spans="1:2" x14ac:dyDescent="0.2">
      <c r="A413" s="6">
        <v>1</v>
      </c>
      <c r="B413" s="6">
        <v>26</v>
      </c>
    </row>
    <row r="414" spans="1:2" x14ac:dyDescent="0.2">
      <c r="A414" s="6">
        <v>0</v>
      </c>
      <c r="B414" s="6">
        <v>4</v>
      </c>
    </row>
    <row r="415" spans="1:2" x14ac:dyDescent="0.2">
      <c r="A415" s="6">
        <v>0</v>
      </c>
      <c r="B415" s="6">
        <v>25</v>
      </c>
    </row>
    <row r="416" spans="1:2" x14ac:dyDescent="0.2">
      <c r="A416" s="6">
        <v>1</v>
      </c>
      <c r="B416" s="6">
        <v>45</v>
      </c>
    </row>
    <row r="417" spans="1:2" x14ac:dyDescent="0.2">
      <c r="A417" s="6">
        <v>1</v>
      </c>
      <c r="B417" s="6">
        <v>42</v>
      </c>
    </row>
    <row r="418" spans="1:2" x14ac:dyDescent="0.2">
      <c r="A418" s="6">
        <v>1</v>
      </c>
      <c r="B418" s="6">
        <v>25</v>
      </c>
    </row>
    <row r="419" spans="1:2" x14ac:dyDescent="0.2">
      <c r="A419" s="6">
        <v>0</v>
      </c>
      <c r="B419" s="6">
        <v>18</v>
      </c>
    </row>
    <row r="420" spans="1:2" x14ac:dyDescent="0.2">
      <c r="A420" s="6">
        <v>0</v>
      </c>
      <c r="B420" s="6">
        <v>40</v>
      </c>
    </row>
    <row r="421" spans="1:2" x14ac:dyDescent="0.2">
      <c r="A421" s="6">
        <v>0</v>
      </c>
      <c r="B421" s="6">
        <v>8</v>
      </c>
    </row>
    <row r="422" spans="1:2" x14ac:dyDescent="0.2">
      <c r="A422" s="6">
        <v>0</v>
      </c>
      <c r="B422" s="6">
        <v>39</v>
      </c>
    </row>
    <row r="423" spans="1:2" x14ac:dyDescent="0.2">
      <c r="A423" s="6">
        <v>0</v>
      </c>
      <c r="B423" s="6">
        <v>40</v>
      </c>
    </row>
    <row r="424" spans="1:2" x14ac:dyDescent="0.2">
      <c r="A424" s="6">
        <v>0</v>
      </c>
      <c r="B424" s="6">
        <v>14</v>
      </c>
    </row>
    <row r="425" spans="1:2" x14ac:dyDescent="0.2">
      <c r="A425" s="6">
        <v>1</v>
      </c>
      <c r="B425" s="6">
        <v>32</v>
      </c>
    </row>
    <row r="426" spans="1:2" x14ac:dyDescent="0.2">
      <c r="A426" s="6">
        <v>0</v>
      </c>
      <c r="B426" s="6">
        <v>51</v>
      </c>
    </row>
    <row r="427" spans="1:2" x14ac:dyDescent="0.2">
      <c r="A427" s="6">
        <v>1</v>
      </c>
      <c r="B427" s="6">
        <v>38</v>
      </c>
    </row>
    <row r="428" spans="1:2" x14ac:dyDescent="0.2">
      <c r="A428" s="6">
        <v>0</v>
      </c>
      <c r="B428" s="6">
        <v>33</v>
      </c>
    </row>
    <row r="429" spans="1:2" x14ac:dyDescent="0.2">
      <c r="A429" s="6">
        <v>0</v>
      </c>
      <c r="B429" s="6">
        <v>23</v>
      </c>
    </row>
    <row r="430" spans="1:2" x14ac:dyDescent="0.2">
      <c r="A430" s="6">
        <v>0</v>
      </c>
      <c r="B430" s="6">
        <v>15</v>
      </c>
    </row>
    <row r="431" spans="1:2" x14ac:dyDescent="0.2">
      <c r="A431" s="6">
        <v>1</v>
      </c>
      <c r="B431" s="6">
        <v>33</v>
      </c>
    </row>
    <row r="432" spans="1:2" x14ac:dyDescent="0.2">
      <c r="A432" s="6">
        <v>0</v>
      </c>
      <c r="B432" s="6">
        <v>25</v>
      </c>
    </row>
    <row r="433" spans="1:2" x14ac:dyDescent="0.2">
      <c r="A433" s="6">
        <v>0</v>
      </c>
      <c r="B433" s="6">
        <v>17</v>
      </c>
    </row>
    <row r="434" spans="1:2" x14ac:dyDescent="0.2">
      <c r="A434" s="6">
        <v>1</v>
      </c>
      <c r="B434" s="6">
        <v>33</v>
      </c>
    </row>
    <row r="435" spans="1:2" x14ac:dyDescent="0.2">
      <c r="A435" s="6">
        <v>0</v>
      </c>
      <c r="B435" s="6">
        <v>47</v>
      </c>
    </row>
    <row r="436" spans="1:2" x14ac:dyDescent="0.2">
      <c r="A436" s="6">
        <v>0</v>
      </c>
      <c r="B436" s="6">
        <v>55</v>
      </c>
    </row>
    <row r="437" spans="1:2" x14ac:dyDescent="0.2">
      <c r="A437" s="6">
        <v>0</v>
      </c>
      <c r="B437" s="6">
        <v>2</v>
      </c>
    </row>
    <row r="438" spans="1:2" x14ac:dyDescent="0.2">
      <c r="A438" s="6">
        <v>0</v>
      </c>
      <c r="B438" s="6">
        <v>14</v>
      </c>
    </row>
    <row r="439" spans="1:2" x14ac:dyDescent="0.2">
      <c r="A439" s="6">
        <v>0</v>
      </c>
      <c r="B439" s="6">
        <v>53</v>
      </c>
    </row>
    <row r="440" spans="1:2" x14ac:dyDescent="0.2">
      <c r="A440" s="6">
        <v>0</v>
      </c>
      <c r="B440" s="6">
        <v>40</v>
      </c>
    </row>
    <row r="441" spans="1:2" x14ac:dyDescent="0.2">
      <c r="A441" s="6">
        <v>0</v>
      </c>
      <c r="B441" s="6">
        <v>40</v>
      </c>
    </row>
    <row r="442" spans="1:2" x14ac:dyDescent="0.2">
      <c r="A442" s="6">
        <v>0</v>
      </c>
      <c r="B442" s="6">
        <v>51</v>
      </c>
    </row>
    <row r="443" spans="1:2" x14ac:dyDescent="0.2">
      <c r="A443" s="6">
        <v>0</v>
      </c>
      <c r="B443" s="6">
        <v>39</v>
      </c>
    </row>
    <row r="444" spans="1:2" x14ac:dyDescent="0.2">
      <c r="A444" s="6">
        <v>0</v>
      </c>
      <c r="B444" s="6">
        <v>51</v>
      </c>
    </row>
    <row r="445" spans="1:2" x14ac:dyDescent="0.2">
      <c r="A445" s="6">
        <v>0</v>
      </c>
      <c r="B445" s="6">
        <v>6</v>
      </c>
    </row>
    <row r="446" spans="1:2" x14ac:dyDescent="0.2">
      <c r="A446" s="6">
        <v>0</v>
      </c>
      <c r="B446" s="6">
        <v>6</v>
      </c>
    </row>
    <row r="447" spans="1:2" x14ac:dyDescent="0.2">
      <c r="A447" s="6">
        <v>0</v>
      </c>
      <c r="B447" s="6">
        <v>3</v>
      </c>
    </row>
    <row r="448" spans="1:2" x14ac:dyDescent="0.2">
      <c r="A448" s="6">
        <v>0</v>
      </c>
      <c r="B448" s="6">
        <v>7</v>
      </c>
    </row>
    <row r="449" spans="1:2" x14ac:dyDescent="0.2">
      <c r="A449" s="6">
        <v>0</v>
      </c>
      <c r="B449" s="6">
        <v>51</v>
      </c>
    </row>
    <row r="450" spans="1:2" x14ac:dyDescent="0.2">
      <c r="A450" s="6">
        <v>1</v>
      </c>
      <c r="B450" s="6">
        <v>8</v>
      </c>
    </row>
    <row r="451" spans="1:2" x14ac:dyDescent="0.2">
      <c r="A451" s="6">
        <v>0</v>
      </c>
      <c r="B451" s="6">
        <v>42</v>
      </c>
    </row>
    <row r="452" spans="1:2" x14ac:dyDescent="0.2">
      <c r="A452" s="6">
        <v>1</v>
      </c>
      <c r="B452" s="6">
        <v>52</v>
      </c>
    </row>
    <row r="453" spans="1:2" x14ac:dyDescent="0.2">
      <c r="A453" s="6">
        <v>1</v>
      </c>
      <c r="B453" s="6">
        <v>15</v>
      </c>
    </row>
    <row r="454" spans="1:2" x14ac:dyDescent="0.2">
      <c r="A454" s="6">
        <v>0</v>
      </c>
      <c r="B454" s="6">
        <v>47</v>
      </c>
    </row>
    <row r="455" spans="1:2" x14ac:dyDescent="0.2">
      <c r="A455" s="6">
        <v>0</v>
      </c>
      <c r="B455" s="6">
        <v>29</v>
      </c>
    </row>
    <row r="456" spans="1:2" x14ac:dyDescent="0.2">
      <c r="A456" s="6">
        <v>0</v>
      </c>
      <c r="B456" s="6">
        <v>33</v>
      </c>
    </row>
    <row r="457" spans="1:2" x14ac:dyDescent="0.2">
      <c r="A457" s="6">
        <v>1</v>
      </c>
      <c r="B457" s="6">
        <v>52</v>
      </c>
    </row>
    <row r="458" spans="1:2" x14ac:dyDescent="0.2">
      <c r="A458" s="6">
        <v>0</v>
      </c>
      <c r="B458" s="6">
        <v>30</v>
      </c>
    </row>
    <row r="459" spans="1:2" x14ac:dyDescent="0.2">
      <c r="A459" s="6">
        <v>0</v>
      </c>
      <c r="B459" s="6">
        <v>39</v>
      </c>
    </row>
    <row r="460" spans="1:2" x14ac:dyDescent="0.2">
      <c r="A460" s="6">
        <v>0</v>
      </c>
      <c r="B460" s="6">
        <v>27</v>
      </c>
    </row>
    <row r="461" spans="1:2" x14ac:dyDescent="0.2">
      <c r="A461" s="6">
        <v>1</v>
      </c>
      <c r="B461" s="6">
        <v>36</v>
      </c>
    </row>
    <row r="462" spans="1:2" x14ac:dyDescent="0.2">
      <c r="A462" s="6">
        <v>1</v>
      </c>
      <c r="B462" s="6">
        <v>29</v>
      </c>
    </row>
    <row r="463" spans="1:2" x14ac:dyDescent="0.2">
      <c r="A463" s="6">
        <v>0</v>
      </c>
      <c r="B463" s="6">
        <v>38</v>
      </c>
    </row>
    <row r="464" spans="1:2" x14ac:dyDescent="0.2">
      <c r="A464" s="6">
        <v>0</v>
      </c>
      <c r="B464" s="6">
        <v>57</v>
      </c>
    </row>
    <row r="465" spans="1:2" x14ac:dyDescent="0.2">
      <c r="A465" s="6">
        <v>0</v>
      </c>
      <c r="B465" s="6">
        <v>33</v>
      </c>
    </row>
    <row r="466" spans="1:2" x14ac:dyDescent="0.2">
      <c r="A466" s="6">
        <v>0</v>
      </c>
      <c r="B466" s="6">
        <v>37</v>
      </c>
    </row>
    <row r="467" spans="1:2" x14ac:dyDescent="0.2">
      <c r="A467" s="6">
        <v>1</v>
      </c>
      <c r="B467" s="6">
        <v>27</v>
      </c>
    </row>
    <row r="468" spans="1:2" x14ac:dyDescent="0.2">
      <c r="A468" s="6">
        <v>0</v>
      </c>
      <c r="B468" s="6">
        <v>55</v>
      </c>
    </row>
    <row r="469" spans="1:2" x14ac:dyDescent="0.2">
      <c r="A469" s="6">
        <v>0</v>
      </c>
      <c r="B469" s="6">
        <v>33</v>
      </c>
    </row>
    <row r="470" spans="1:2" x14ac:dyDescent="0.2">
      <c r="A470" s="6">
        <v>0</v>
      </c>
      <c r="B470" s="6">
        <v>4</v>
      </c>
    </row>
    <row r="471" spans="1:2" x14ac:dyDescent="0.2">
      <c r="A471" s="6">
        <v>1</v>
      </c>
      <c r="B471" s="6">
        <v>22</v>
      </c>
    </row>
    <row r="472" spans="1:2" x14ac:dyDescent="0.2">
      <c r="A472" s="6">
        <v>1</v>
      </c>
      <c r="B472" s="6">
        <v>2</v>
      </c>
    </row>
    <row r="473" spans="1:2" x14ac:dyDescent="0.2">
      <c r="A473" s="6">
        <v>0</v>
      </c>
      <c r="B473" s="6">
        <v>10</v>
      </c>
    </row>
    <row r="474" spans="1:2" x14ac:dyDescent="0.2">
      <c r="A474" s="6">
        <v>1</v>
      </c>
      <c r="B474" s="6">
        <v>5</v>
      </c>
    </row>
    <row r="475" spans="1:2" x14ac:dyDescent="0.2">
      <c r="A475" s="6">
        <v>0</v>
      </c>
      <c r="B475" s="6">
        <v>59</v>
      </c>
    </row>
    <row r="476" spans="1:2" x14ac:dyDescent="0.2">
      <c r="A476" s="6">
        <v>0</v>
      </c>
      <c r="B476" s="6">
        <v>10</v>
      </c>
    </row>
    <row r="477" spans="1:2" x14ac:dyDescent="0.2">
      <c r="A477" s="6">
        <v>0</v>
      </c>
      <c r="B477" s="6">
        <v>33</v>
      </c>
    </row>
    <row r="478" spans="1:2" x14ac:dyDescent="0.2">
      <c r="A478" s="6">
        <v>0</v>
      </c>
      <c r="B478" s="6">
        <v>54</v>
      </c>
    </row>
    <row r="479" spans="1:2" x14ac:dyDescent="0.2">
      <c r="A479" s="6">
        <v>0</v>
      </c>
      <c r="B479" s="6">
        <v>38</v>
      </c>
    </row>
    <row r="480" spans="1:2" x14ac:dyDescent="0.2">
      <c r="A480" s="6">
        <v>1</v>
      </c>
      <c r="B480" s="6">
        <v>13</v>
      </c>
    </row>
    <row r="481" spans="1:2" x14ac:dyDescent="0.2">
      <c r="A481" s="6">
        <v>0</v>
      </c>
      <c r="B481" s="6">
        <v>31</v>
      </c>
    </row>
    <row r="482" spans="1:2" x14ac:dyDescent="0.2">
      <c r="A482" s="6">
        <v>0</v>
      </c>
      <c r="B482" s="6">
        <v>47</v>
      </c>
    </row>
    <row r="483" spans="1:2" x14ac:dyDescent="0.2">
      <c r="A483" s="6">
        <v>0</v>
      </c>
      <c r="B483" s="6">
        <v>36</v>
      </c>
    </row>
    <row r="484" spans="1:2" x14ac:dyDescent="0.2">
      <c r="A484" s="6">
        <v>0</v>
      </c>
      <c r="B484" s="6">
        <v>45</v>
      </c>
    </row>
    <row r="485" spans="1:2" x14ac:dyDescent="0.2">
      <c r="A485" s="6">
        <v>1</v>
      </c>
      <c r="B485" s="6">
        <v>24</v>
      </c>
    </row>
    <row r="486" spans="1:2" x14ac:dyDescent="0.2">
      <c r="A486" s="6">
        <v>0</v>
      </c>
      <c r="B486" s="6">
        <v>52</v>
      </c>
    </row>
    <row r="487" spans="1:2" x14ac:dyDescent="0.2">
      <c r="A487" s="6">
        <v>0</v>
      </c>
      <c r="B487" s="6">
        <v>56</v>
      </c>
    </row>
    <row r="488" spans="1:2" x14ac:dyDescent="0.2">
      <c r="A488" s="6">
        <v>1</v>
      </c>
      <c r="B488" s="6">
        <v>15</v>
      </c>
    </row>
    <row r="489" spans="1:2" x14ac:dyDescent="0.2">
      <c r="A489" s="6">
        <v>0</v>
      </c>
      <c r="B489" s="6">
        <v>29</v>
      </c>
    </row>
    <row r="490" spans="1:2" x14ac:dyDescent="0.2">
      <c r="A490" s="6">
        <v>0</v>
      </c>
      <c r="B490" s="6">
        <v>8</v>
      </c>
    </row>
    <row r="491" spans="1:2" x14ac:dyDescent="0.2">
      <c r="A491" s="6">
        <v>0</v>
      </c>
      <c r="B491" s="6">
        <v>5</v>
      </c>
    </row>
    <row r="492" spans="1:2" x14ac:dyDescent="0.2">
      <c r="A492" s="6">
        <v>0</v>
      </c>
      <c r="B492" s="6">
        <v>29</v>
      </c>
    </row>
    <row r="493" spans="1:2" x14ac:dyDescent="0.2">
      <c r="A493" s="6">
        <v>1</v>
      </c>
      <c r="B493" s="6">
        <v>47</v>
      </c>
    </row>
    <row r="494" spans="1:2" x14ac:dyDescent="0.2">
      <c r="A494" s="6">
        <v>1</v>
      </c>
      <c r="B494" s="6">
        <v>4</v>
      </c>
    </row>
    <row r="495" spans="1:2" x14ac:dyDescent="0.2">
      <c r="A495" s="6">
        <v>0</v>
      </c>
      <c r="B495" s="6">
        <v>12</v>
      </c>
    </row>
    <row r="496" spans="1:2" x14ac:dyDescent="0.2">
      <c r="A496" s="6">
        <v>1</v>
      </c>
      <c r="B496" s="6">
        <v>45</v>
      </c>
    </row>
    <row r="497" spans="1:2" x14ac:dyDescent="0.2">
      <c r="A497" s="6">
        <v>0</v>
      </c>
      <c r="B497" s="6">
        <v>2</v>
      </c>
    </row>
    <row r="498" spans="1:2" x14ac:dyDescent="0.2">
      <c r="A498" s="6">
        <v>0</v>
      </c>
      <c r="B498" s="6">
        <v>27</v>
      </c>
    </row>
    <row r="499" spans="1:2" x14ac:dyDescent="0.2">
      <c r="A499" s="6">
        <v>0</v>
      </c>
      <c r="B499" s="6">
        <v>31</v>
      </c>
    </row>
    <row r="500" spans="1:2" x14ac:dyDescent="0.2">
      <c r="A500" s="6">
        <v>0</v>
      </c>
      <c r="B500" s="6">
        <v>51</v>
      </c>
    </row>
    <row r="501" spans="1:2" x14ac:dyDescent="0.2">
      <c r="A501" s="6">
        <v>0</v>
      </c>
      <c r="B501" s="6">
        <v>51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8C2D-3359-425E-8128-A3CDD397FD1E}">
  <dimension ref="A1:G501"/>
  <sheetViews>
    <sheetView topLeftCell="A2" zoomScaleNormal="100" workbookViewId="0">
      <selection activeCell="N17" sqref="N17"/>
    </sheetView>
  </sheetViews>
  <sheetFormatPr defaultRowHeight="12.75" x14ac:dyDescent="0.2"/>
  <cols>
    <col min="1" max="1" width="10.28515625" style="2" customWidth="1"/>
    <col min="2" max="2" width="14.5703125" style="6" customWidth="1"/>
    <col min="3" max="3" width="21" style="21" customWidth="1"/>
    <col min="4" max="4" width="6.85546875" customWidth="1"/>
    <col min="5" max="5" width="18.7109375" style="19" bestFit="1" customWidth="1"/>
    <col min="6" max="6" width="22.42578125" style="14" bestFit="1" customWidth="1"/>
    <col min="7" max="7" width="11.140625" style="14" bestFit="1" customWidth="1"/>
    <col min="8" max="8" width="11.140625" bestFit="1" customWidth="1"/>
  </cols>
  <sheetData>
    <row r="1" spans="1:7" x14ac:dyDescent="0.2">
      <c r="A1" s="1" t="s">
        <v>9</v>
      </c>
      <c r="B1" s="5" t="s">
        <v>17</v>
      </c>
      <c r="C1" s="20" t="s">
        <v>32</v>
      </c>
      <c r="E1" s="15" t="s">
        <v>31</v>
      </c>
      <c r="F1" s="25" t="s">
        <v>30</v>
      </c>
      <c r="G1" s="25"/>
    </row>
    <row r="2" spans="1:7" x14ac:dyDescent="0.2">
      <c r="A2" s="2">
        <v>1</v>
      </c>
      <c r="B2" s="6">
        <v>1</v>
      </c>
      <c r="C2" s="21" t="s">
        <v>24</v>
      </c>
      <c r="E2" s="15" t="s">
        <v>28</v>
      </c>
      <c r="F2" s="26">
        <v>1</v>
      </c>
      <c r="G2" s="24" t="s">
        <v>29</v>
      </c>
    </row>
    <row r="3" spans="1:7" x14ac:dyDescent="0.2">
      <c r="A3" s="2">
        <v>2</v>
      </c>
      <c r="B3" s="6">
        <v>0</v>
      </c>
      <c r="C3" s="21" t="s">
        <v>25</v>
      </c>
      <c r="E3" s="22" t="s">
        <v>27</v>
      </c>
      <c r="F3" s="27">
        <v>0.17722101260388237</v>
      </c>
      <c r="G3" s="23">
        <v>0.17722101260388237</v>
      </c>
    </row>
    <row r="4" spans="1:7" x14ac:dyDescent="0.2">
      <c r="A4" s="2">
        <v>3</v>
      </c>
      <c r="B4" s="6">
        <v>0</v>
      </c>
      <c r="C4" s="21" t="s">
        <v>24</v>
      </c>
      <c r="E4" s="22" t="s">
        <v>26</v>
      </c>
      <c r="F4" s="27">
        <v>0.23324848968076298</v>
      </c>
      <c r="G4" s="23">
        <v>0.23324848968076298</v>
      </c>
    </row>
    <row r="5" spans="1:7" x14ac:dyDescent="0.2">
      <c r="A5" s="2">
        <v>4</v>
      </c>
      <c r="B5" s="6">
        <v>0</v>
      </c>
      <c r="C5" s="21" t="s">
        <v>26</v>
      </c>
      <c r="E5" s="22" t="s">
        <v>24</v>
      </c>
      <c r="F5" s="27">
        <v>0.28749731669171086</v>
      </c>
      <c r="G5" s="23">
        <v>0.28749731669171086</v>
      </c>
    </row>
    <row r="6" spans="1:7" x14ac:dyDescent="0.2">
      <c r="A6" s="2">
        <v>5</v>
      </c>
      <c r="B6" s="6">
        <v>0</v>
      </c>
      <c r="C6" s="21" t="s">
        <v>24</v>
      </c>
      <c r="E6" s="22" t="s">
        <v>25</v>
      </c>
      <c r="F6" s="27">
        <v>0.30203318102364379</v>
      </c>
      <c r="G6" s="23">
        <v>0.30203318102364379</v>
      </c>
    </row>
    <row r="7" spans="1:7" x14ac:dyDescent="0.2">
      <c r="A7" s="2">
        <v>6</v>
      </c>
      <c r="B7" s="6">
        <v>0</v>
      </c>
      <c r="C7" s="21" t="s">
        <v>27</v>
      </c>
      <c r="E7" s="22" t="s">
        <v>29</v>
      </c>
      <c r="F7" s="27">
        <v>1</v>
      </c>
      <c r="G7" s="23">
        <v>1</v>
      </c>
    </row>
    <row r="8" spans="1:7" x14ac:dyDescent="0.2">
      <c r="A8" s="2">
        <v>7</v>
      </c>
      <c r="B8" s="6">
        <v>0</v>
      </c>
      <c r="C8" s="21" t="s">
        <v>25</v>
      </c>
      <c r="E8"/>
    </row>
    <row r="9" spans="1:7" x14ac:dyDescent="0.2">
      <c r="A9" s="2">
        <v>8</v>
      </c>
      <c r="B9" s="6">
        <v>0</v>
      </c>
      <c r="C9" s="21" t="s">
        <v>26</v>
      </c>
      <c r="E9"/>
    </row>
    <row r="10" spans="1:7" x14ac:dyDescent="0.2">
      <c r="A10" s="2">
        <v>9</v>
      </c>
      <c r="B10" s="6">
        <v>1</v>
      </c>
      <c r="C10" s="21" t="s">
        <v>24</v>
      </c>
      <c r="E10"/>
    </row>
    <row r="11" spans="1:7" x14ac:dyDescent="0.2">
      <c r="A11" s="2">
        <v>10</v>
      </c>
      <c r="B11" s="6">
        <v>0</v>
      </c>
      <c r="C11" s="21" t="s">
        <v>25</v>
      </c>
      <c r="E11"/>
    </row>
    <row r="12" spans="1:7" x14ac:dyDescent="0.2">
      <c r="A12" s="2">
        <v>11</v>
      </c>
      <c r="B12" s="6">
        <v>1</v>
      </c>
      <c r="C12" s="21" t="s">
        <v>26</v>
      </c>
      <c r="E12"/>
    </row>
    <row r="13" spans="1:7" x14ac:dyDescent="0.2">
      <c r="A13" s="2">
        <v>12</v>
      </c>
      <c r="B13" s="6">
        <v>0</v>
      </c>
      <c r="C13" s="21" t="s">
        <v>26</v>
      </c>
      <c r="E13"/>
    </row>
    <row r="14" spans="1:7" x14ac:dyDescent="0.2">
      <c r="A14" s="2">
        <v>13</v>
      </c>
      <c r="B14" s="6">
        <v>0</v>
      </c>
      <c r="C14" s="21" t="s">
        <v>27</v>
      </c>
      <c r="E14"/>
    </row>
    <row r="15" spans="1:7" x14ac:dyDescent="0.2">
      <c r="A15" s="2">
        <v>14</v>
      </c>
      <c r="B15" s="6">
        <v>0</v>
      </c>
      <c r="C15" s="21" t="s">
        <v>27</v>
      </c>
      <c r="E15"/>
    </row>
    <row r="16" spans="1:7" x14ac:dyDescent="0.2">
      <c r="A16" s="2">
        <v>15</v>
      </c>
      <c r="B16" s="6">
        <v>0</v>
      </c>
      <c r="C16" s="21" t="s">
        <v>26</v>
      </c>
      <c r="E16"/>
    </row>
    <row r="17" spans="1:5" x14ac:dyDescent="0.2">
      <c r="A17" s="2">
        <v>16</v>
      </c>
      <c r="B17" s="6">
        <v>0</v>
      </c>
      <c r="C17" s="21" t="s">
        <v>25</v>
      </c>
      <c r="E17"/>
    </row>
    <row r="18" spans="1:5" x14ac:dyDescent="0.2">
      <c r="A18" s="2">
        <v>17</v>
      </c>
      <c r="B18" s="6">
        <v>0</v>
      </c>
      <c r="C18" s="21" t="s">
        <v>24</v>
      </c>
      <c r="E18"/>
    </row>
    <row r="19" spans="1:5" x14ac:dyDescent="0.2">
      <c r="A19" s="2">
        <v>18</v>
      </c>
      <c r="B19" s="6">
        <v>0</v>
      </c>
      <c r="C19" s="21" t="s">
        <v>24</v>
      </c>
    </row>
    <row r="20" spans="1:5" x14ac:dyDescent="0.2">
      <c r="A20" s="2">
        <v>19</v>
      </c>
      <c r="B20" s="6">
        <v>0</v>
      </c>
      <c r="C20" s="21" t="s">
        <v>26</v>
      </c>
    </row>
    <row r="21" spans="1:5" x14ac:dyDescent="0.2">
      <c r="A21" s="2">
        <v>20</v>
      </c>
      <c r="B21" s="6">
        <v>1</v>
      </c>
      <c r="C21" s="21" t="s">
        <v>27</v>
      </c>
    </row>
    <row r="22" spans="1:5" x14ac:dyDescent="0.2">
      <c r="A22" s="2">
        <v>21</v>
      </c>
      <c r="B22" s="6">
        <v>1</v>
      </c>
      <c r="C22" s="21" t="s">
        <v>26</v>
      </c>
    </row>
    <row r="23" spans="1:5" x14ac:dyDescent="0.2">
      <c r="A23" s="2">
        <v>22</v>
      </c>
      <c r="B23" s="6">
        <v>0</v>
      </c>
      <c r="C23" s="21" t="s">
        <v>25</v>
      </c>
    </row>
    <row r="24" spans="1:5" x14ac:dyDescent="0.2">
      <c r="A24" s="2">
        <v>23</v>
      </c>
      <c r="B24" s="6">
        <v>0</v>
      </c>
      <c r="C24" s="21" t="s">
        <v>27</v>
      </c>
    </row>
    <row r="25" spans="1:5" x14ac:dyDescent="0.2">
      <c r="A25" s="2">
        <v>24</v>
      </c>
      <c r="B25" s="6">
        <v>0</v>
      </c>
      <c r="C25" s="21" t="s">
        <v>26</v>
      </c>
    </row>
    <row r="26" spans="1:5" x14ac:dyDescent="0.2">
      <c r="A26" s="2">
        <v>25</v>
      </c>
      <c r="B26" s="6">
        <v>0</v>
      </c>
      <c r="C26" s="21" t="s">
        <v>25</v>
      </c>
    </row>
    <row r="27" spans="1:5" x14ac:dyDescent="0.2">
      <c r="A27" s="2">
        <v>26</v>
      </c>
      <c r="B27" s="6">
        <v>0</v>
      </c>
      <c r="C27" s="21" t="s">
        <v>24</v>
      </c>
    </row>
    <row r="28" spans="1:5" x14ac:dyDescent="0.2">
      <c r="A28" s="2">
        <v>27</v>
      </c>
      <c r="B28" s="6">
        <v>0</v>
      </c>
      <c r="C28" s="21" t="s">
        <v>24</v>
      </c>
    </row>
    <row r="29" spans="1:5" x14ac:dyDescent="0.2">
      <c r="A29" s="2">
        <v>28</v>
      </c>
      <c r="B29" s="6">
        <v>0</v>
      </c>
      <c r="C29" s="21" t="s">
        <v>27</v>
      </c>
    </row>
    <row r="30" spans="1:5" x14ac:dyDescent="0.2">
      <c r="A30" s="2">
        <v>29</v>
      </c>
      <c r="B30" s="6">
        <v>0</v>
      </c>
      <c r="C30" s="21" t="s">
        <v>25</v>
      </c>
    </row>
    <row r="31" spans="1:5" x14ac:dyDescent="0.2">
      <c r="A31" s="2">
        <v>30</v>
      </c>
      <c r="B31" s="6">
        <v>0</v>
      </c>
      <c r="C31" s="21" t="s">
        <v>26</v>
      </c>
    </row>
    <row r="32" spans="1:5" x14ac:dyDescent="0.2">
      <c r="A32" s="2">
        <v>31</v>
      </c>
      <c r="B32" s="6">
        <v>1</v>
      </c>
      <c r="C32" s="21" t="s">
        <v>24</v>
      </c>
    </row>
    <row r="33" spans="1:3" x14ac:dyDescent="0.2">
      <c r="A33" s="2">
        <v>32</v>
      </c>
      <c r="B33" s="6">
        <v>1</v>
      </c>
      <c r="C33" s="21" t="s">
        <v>27</v>
      </c>
    </row>
    <row r="34" spans="1:3" x14ac:dyDescent="0.2">
      <c r="A34" s="2">
        <v>33</v>
      </c>
      <c r="B34" s="6">
        <v>0</v>
      </c>
      <c r="C34" s="21" t="s">
        <v>25</v>
      </c>
    </row>
    <row r="35" spans="1:3" x14ac:dyDescent="0.2">
      <c r="A35" s="2">
        <v>34</v>
      </c>
      <c r="B35" s="6">
        <v>1</v>
      </c>
      <c r="C35" s="21" t="s">
        <v>26</v>
      </c>
    </row>
    <row r="36" spans="1:3" x14ac:dyDescent="0.2">
      <c r="A36" s="2">
        <v>35</v>
      </c>
      <c r="B36" s="6">
        <v>1</v>
      </c>
      <c r="C36" s="21" t="s">
        <v>25</v>
      </c>
    </row>
    <row r="37" spans="1:3" x14ac:dyDescent="0.2">
      <c r="A37" s="2">
        <v>36</v>
      </c>
      <c r="B37" s="6">
        <v>0</v>
      </c>
      <c r="C37" s="21" t="s">
        <v>25</v>
      </c>
    </row>
    <row r="38" spans="1:3" x14ac:dyDescent="0.2">
      <c r="A38" s="2">
        <v>37</v>
      </c>
      <c r="B38" s="6">
        <v>0</v>
      </c>
      <c r="C38" s="21" t="s">
        <v>26</v>
      </c>
    </row>
    <row r="39" spans="1:3" x14ac:dyDescent="0.2">
      <c r="A39" s="2">
        <v>38</v>
      </c>
      <c r="B39" s="6">
        <v>0</v>
      </c>
      <c r="C39" s="21" t="s">
        <v>25</v>
      </c>
    </row>
    <row r="40" spans="1:3" x14ac:dyDescent="0.2">
      <c r="A40" s="2">
        <v>39</v>
      </c>
      <c r="B40" s="6">
        <v>1</v>
      </c>
      <c r="C40" s="21" t="s">
        <v>26</v>
      </c>
    </row>
    <row r="41" spans="1:3" x14ac:dyDescent="0.2">
      <c r="A41" s="2">
        <v>40</v>
      </c>
      <c r="B41" s="6">
        <v>1</v>
      </c>
      <c r="C41" s="21" t="s">
        <v>25</v>
      </c>
    </row>
    <row r="42" spans="1:3" x14ac:dyDescent="0.2">
      <c r="A42" s="2">
        <v>41</v>
      </c>
      <c r="B42" s="6">
        <v>0</v>
      </c>
      <c r="C42" s="21" t="s">
        <v>24</v>
      </c>
    </row>
    <row r="43" spans="1:3" x14ac:dyDescent="0.2">
      <c r="A43" s="2">
        <v>42</v>
      </c>
      <c r="B43" s="6">
        <v>0</v>
      </c>
      <c r="C43" s="21" t="s">
        <v>26</v>
      </c>
    </row>
    <row r="44" spans="1:3" x14ac:dyDescent="0.2">
      <c r="A44" s="2">
        <v>43</v>
      </c>
      <c r="B44" s="6">
        <v>0</v>
      </c>
      <c r="C44" s="21" t="s">
        <v>25</v>
      </c>
    </row>
    <row r="45" spans="1:3" x14ac:dyDescent="0.2">
      <c r="A45" s="2">
        <v>44</v>
      </c>
      <c r="B45" s="6">
        <v>0</v>
      </c>
      <c r="C45" s="21" t="s">
        <v>26</v>
      </c>
    </row>
    <row r="46" spans="1:3" x14ac:dyDescent="0.2">
      <c r="A46" s="2">
        <v>45</v>
      </c>
      <c r="B46" s="6">
        <v>0</v>
      </c>
      <c r="C46" s="21" t="s">
        <v>26</v>
      </c>
    </row>
    <row r="47" spans="1:3" x14ac:dyDescent="0.2">
      <c r="A47" s="2">
        <v>46</v>
      </c>
      <c r="B47" s="6">
        <v>1</v>
      </c>
      <c r="C47" s="21" t="s">
        <v>25</v>
      </c>
    </row>
    <row r="48" spans="1:3" x14ac:dyDescent="0.2">
      <c r="A48" s="2">
        <v>47</v>
      </c>
      <c r="B48" s="6">
        <v>0</v>
      </c>
      <c r="C48" s="21" t="s">
        <v>25</v>
      </c>
    </row>
    <row r="49" spans="1:3" x14ac:dyDescent="0.2">
      <c r="A49" s="2">
        <v>48</v>
      </c>
      <c r="B49" s="6">
        <v>1</v>
      </c>
      <c r="C49" s="21" t="s">
        <v>25</v>
      </c>
    </row>
    <row r="50" spans="1:3" x14ac:dyDescent="0.2">
      <c r="A50" s="2">
        <v>49</v>
      </c>
      <c r="B50" s="6">
        <v>1</v>
      </c>
      <c r="C50" s="21" t="s">
        <v>25</v>
      </c>
    </row>
    <row r="51" spans="1:3" x14ac:dyDescent="0.2">
      <c r="A51" s="2">
        <v>50</v>
      </c>
      <c r="B51" s="6">
        <v>0</v>
      </c>
      <c r="C51" s="21" t="s">
        <v>25</v>
      </c>
    </row>
    <row r="52" spans="1:3" x14ac:dyDescent="0.2">
      <c r="A52" s="2">
        <v>51</v>
      </c>
      <c r="B52" s="6">
        <v>0</v>
      </c>
      <c r="C52" s="21" t="s">
        <v>25</v>
      </c>
    </row>
    <row r="53" spans="1:3" x14ac:dyDescent="0.2">
      <c r="A53" s="2">
        <v>52</v>
      </c>
      <c r="B53" s="6">
        <v>0</v>
      </c>
      <c r="C53" s="21" t="s">
        <v>25</v>
      </c>
    </row>
    <row r="54" spans="1:3" x14ac:dyDescent="0.2">
      <c r="A54" s="2">
        <v>53</v>
      </c>
      <c r="B54" s="6">
        <v>0</v>
      </c>
      <c r="C54" s="21" t="s">
        <v>25</v>
      </c>
    </row>
    <row r="55" spans="1:3" x14ac:dyDescent="0.2">
      <c r="A55" s="2">
        <v>54</v>
      </c>
      <c r="B55" s="6">
        <v>0</v>
      </c>
      <c r="C55" s="21" t="s">
        <v>25</v>
      </c>
    </row>
    <row r="56" spans="1:3" x14ac:dyDescent="0.2">
      <c r="A56" s="2">
        <v>55</v>
      </c>
      <c r="B56" s="6">
        <v>0</v>
      </c>
      <c r="C56" s="21" t="s">
        <v>27</v>
      </c>
    </row>
    <row r="57" spans="1:3" x14ac:dyDescent="0.2">
      <c r="A57" s="2">
        <v>56</v>
      </c>
      <c r="B57" s="6">
        <v>0</v>
      </c>
      <c r="C57" s="21" t="s">
        <v>24</v>
      </c>
    </row>
    <row r="58" spans="1:3" x14ac:dyDescent="0.2">
      <c r="A58" s="2">
        <v>57</v>
      </c>
      <c r="B58" s="6">
        <v>0</v>
      </c>
      <c r="C58" s="21" t="s">
        <v>25</v>
      </c>
    </row>
    <row r="59" spans="1:3" x14ac:dyDescent="0.2">
      <c r="A59" s="2">
        <v>58</v>
      </c>
      <c r="B59" s="6">
        <v>0</v>
      </c>
      <c r="C59" s="21" t="s">
        <v>27</v>
      </c>
    </row>
    <row r="60" spans="1:3" x14ac:dyDescent="0.2">
      <c r="A60" s="2">
        <v>59</v>
      </c>
      <c r="B60" s="6">
        <v>0</v>
      </c>
      <c r="C60" s="21" t="s">
        <v>26</v>
      </c>
    </row>
    <row r="61" spans="1:3" x14ac:dyDescent="0.2">
      <c r="A61" s="2">
        <v>60</v>
      </c>
      <c r="B61" s="6">
        <v>0</v>
      </c>
      <c r="C61" s="21" t="s">
        <v>27</v>
      </c>
    </row>
    <row r="62" spans="1:3" x14ac:dyDescent="0.2">
      <c r="A62" s="2">
        <v>61</v>
      </c>
      <c r="B62" s="6">
        <v>0</v>
      </c>
      <c r="C62" s="21" t="s">
        <v>24</v>
      </c>
    </row>
    <row r="63" spans="1:3" x14ac:dyDescent="0.2">
      <c r="A63" s="2">
        <v>62</v>
      </c>
      <c r="B63" s="6">
        <v>0</v>
      </c>
      <c r="C63" s="21" t="s">
        <v>26</v>
      </c>
    </row>
    <row r="64" spans="1:3" x14ac:dyDescent="0.2">
      <c r="A64" s="2">
        <v>63</v>
      </c>
      <c r="B64" s="6">
        <v>0</v>
      </c>
      <c r="C64" s="21" t="s">
        <v>27</v>
      </c>
    </row>
    <row r="65" spans="1:3" x14ac:dyDescent="0.2">
      <c r="A65" s="2">
        <v>64</v>
      </c>
      <c r="B65" s="6">
        <v>0</v>
      </c>
      <c r="C65" s="21" t="s">
        <v>26</v>
      </c>
    </row>
    <row r="66" spans="1:3" x14ac:dyDescent="0.2">
      <c r="A66" s="2">
        <v>65</v>
      </c>
      <c r="B66" s="6">
        <v>0</v>
      </c>
      <c r="C66" s="21" t="s">
        <v>25</v>
      </c>
    </row>
    <row r="67" spans="1:3" x14ac:dyDescent="0.2">
      <c r="A67" s="2">
        <v>66</v>
      </c>
      <c r="B67" s="6">
        <v>0</v>
      </c>
      <c r="C67" s="21" t="s">
        <v>26</v>
      </c>
    </row>
    <row r="68" spans="1:3" x14ac:dyDescent="0.2">
      <c r="A68" s="2">
        <v>67</v>
      </c>
      <c r="B68" s="6">
        <v>0</v>
      </c>
      <c r="C68" s="21" t="s">
        <v>25</v>
      </c>
    </row>
    <row r="69" spans="1:3" x14ac:dyDescent="0.2">
      <c r="A69" s="2">
        <v>68</v>
      </c>
      <c r="B69" s="6">
        <v>1</v>
      </c>
      <c r="C69" s="21" t="s">
        <v>25</v>
      </c>
    </row>
    <row r="70" spans="1:3" x14ac:dyDescent="0.2">
      <c r="A70" s="2">
        <v>69</v>
      </c>
      <c r="B70" s="6">
        <v>0</v>
      </c>
      <c r="C70" s="21" t="s">
        <v>27</v>
      </c>
    </row>
    <row r="71" spans="1:3" x14ac:dyDescent="0.2">
      <c r="A71" s="2">
        <v>70</v>
      </c>
      <c r="B71" s="6">
        <v>0</v>
      </c>
      <c r="C71" s="21" t="s">
        <v>26</v>
      </c>
    </row>
    <row r="72" spans="1:3" x14ac:dyDescent="0.2">
      <c r="A72" s="2">
        <v>71</v>
      </c>
      <c r="B72" s="6">
        <v>0</v>
      </c>
      <c r="C72" s="21" t="s">
        <v>25</v>
      </c>
    </row>
    <row r="73" spans="1:3" x14ac:dyDescent="0.2">
      <c r="A73" s="2">
        <v>72</v>
      </c>
      <c r="B73" s="6">
        <v>0</v>
      </c>
      <c r="C73" s="21" t="s">
        <v>27</v>
      </c>
    </row>
    <row r="74" spans="1:3" x14ac:dyDescent="0.2">
      <c r="A74" s="2">
        <v>73</v>
      </c>
      <c r="B74" s="6">
        <v>0</v>
      </c>
      <c r="C74" s="21" t="s">
        <v>26</v>
      </c>
    </row>
    <row r="75" spans="1:3" x14ac:dyDescent="0.2">
      <c r="A75" s="2">
        <v>74</v>
      </c>
      <c r="B75" s="6">
        <v>0</v>
      </c>
      <c r="C75" s="21" t="s">
        <v>26</v>
      </c>
    </row>
    <row r="76" spans="1:3" x14ac:dyDescent="0.2">
      <c r="A76" s="2">
        <v>75</v>
      </c>
      <c r="B76" s="6">
        <v>0</v>
      </c>
      <c r="C76" s="21" t="s">
        <v>25</v>
      </c>
    </row>
    <row r="77" spans="1:3" x14ac:dyDescent="0.2">
      <c r="A77" s="2">
        <v>76</v>
      </c>
      <c r="B77" s="6">
        <v>0</v>
      </c>
      <c r="C77" s="21" t="s">
        <v>25</v>
      </c>
    </row>
    <row r="78" spans="1:3" x14ac:dyDescent="0.2">
      <c r="A78" s="2">
        <v>77</v>
      </c>
      <c r="B78" s="6">
        <v>0</v>
      </c>
      <c r="C78" s="21" t="s">
        <v>27</v>
      </c>
    </row>
    <row r="79" spans="1:3" x14ac:dyDescent="0.2">
      <c r="A79" s="2">
        <v>78</v>
      </c>
      <c r="B79" s="6">
        <v>0</v>
      </c>
      <c r="C79" s="21" t="s">
        <v>25</v>
      </c>
    </row>
    <row r="80" spans="1:3" x14ac:dyDescent="0.2">
      <c r="A80" s="2">
        <v>79</v>
      </c>
      <c r="B80" s="6">
        <v>0</v>
      </c>
      <c r="C80" s="21" t="s">
        <v>25</v>
      </c>
    </row>
    <row r="81" spans="1:3" x14ac:dyDescent="0.2">
      <c r="A81" s="2">
        <v>80</v>
      </c>
      <c r="B81" s="6">
        <v>1</v>
      </c>
      <c r="C81" s="21" t="s">
        <v>27</v>
      </c>
    </row>
    <row r="82" spans="1:3" x14ac:dyDescent="0.2">
      <c r="A82" s="2">
        <v>81</v>
      </c>
      <c r="B82" s="6">
        <v>0</v>
      </c>
      <c r="C82" s="21" t="s">
        <v>25</v>
      </c>
    </row>
    <row r="83" spans="1:3" x14ac:dyDescent="0.2">
      <c r="A83" s="2">
        <v>82</v>
      </c>
      <c r="B83" s="6">
        <v>0</v>
      </c>
      <c r="C83" s="21" t="s">
        <v>24</v>
      </c>
    </row>
    <row r="84" spans="1:3" x14ac:dyDescent="0.2">
      <c r="A84" s="2">
        <v>83</v>
      </c>
      <c r="B84" s="6">
        <v>0</v>
      </c>
      <c r="C84" s="21" t="s">
        <v>26</v>
      </c>
    </row>
    <row r="85" spans="1:3" x14ac:dyDescent="0.2">
      <c r="A85" s="2">
        <v>84</v>
      </c>
      <c r="B85" s="6">
        <v>0</v>
      </c>
      <c r="C85" s="21" t="s">
        <v>26</v>
      </c>
    </row>
    <row r="86" spans="1:3" x14ac:dyDescent="0.2">
      <c r="A86" s="2">
        <v>85</v>
      </c>
      <c r="B86" s="6">
        <v>0</v>
      </c>
      <c r="C86" s="21" t="s">
        <v>24</v>
      </c>
    </row>
    <row r="87" spans="1:3" x14ac:dyDescent="0.2">
      <c r="A87" s="2">
        <v>86</v>
      </c>
      <c r="B87" s="6">
        <v>0</v>
      </c>
      <c r="C87" s="21" t="s">
        <v>25</v>
      </c>
    </row>
    <row r="88" spans="1:3" x14ac:dyDescent="0.2">
      <c r="A88" s="2">
        <v>87</v>
      </c>
      <c r="B88" s="6">
        <v>0</v>
      </c>
      <c r="C88" s="21" t="s">
        <v>24</v>
      </c>
    </row>
    <row r="89" spans="1:3" x14ac:dyDescent="0.2">
      <c r="A89" s="2">
        <v>88</v>
      </c>
      <c r="B89" s="6">
        <v>0</v>
      </c>
      <c r="C89" s="21" t="s">
        <v>27</v>
      </c>
    </row>
    <row r="90" spans="1:3" x14ac:dyDescent="0.2">
      <c r="A90" s="2">
        <v>89</v>
      </c>
      <c r="B90" s="6">
        <v>0</v>
      </c>
      <c r="C90" s="21" t="s">
        <v>27</v>
      </c>
    </row>
    <row r="91" spans="1:3" x14ac:dyDescent="0.2">
      <c r="A91" s="2">
        <v>90</v>
      </c>
      <c r="B91" s="6">
        <v>0</v>
      </c>
      <c r="C91" s="21" t="s">
        <v>25</v>
      </c>
    </row>
    <row r="92" spans="1:3" x14ac:dyDescent="0.2">
      <c r="A92" s="2">
        <v>91</v>
      </c>
      <c r="B92" s="6">
        <v>1</v>
      </c>
      <c r="C92" s="21" t="s">
        <v>27</v>
      </c>
    </row>
    <row r="93" spans="1:3" x14ac:dyDescent="0.2">
      <c r="A93" s="2">
        <v>92</v>
      </c>
      <c r="B93" s="6">
        <v>0</v>
      </c>
      <c r="C93" s="21" t="s">
        <v>25</v>
      </c>
    </row>
    <row r="94" spans="1:3" x14ac:dyDescent="0.2">
      <c r="A94" s="2">
        <v>93</v>
      </c>
      <c r="B94" s="6">
        <v>0</v>
      </c>
      <c r="C94" s="21" t="s">
        <v>24</v>
      </c>
    </row>
    <row r="95" spans="1:3" x14ac:dyDescent="0.2">
      <c r="A95" s="2">
        <v>94</v>
      </c>
      <c r="B95" s="6">
        <v>0</v>
      </c>
      <c r="C95" s="21" t="s">
        <v>27</v>
      </c>
    </row>
    <row r="96" spans="1:3" x14ac:dyDescent="0.2">
      <c r="A96" s="2">
        <v>95</v>
      </c>
      <c r="B96" s="6">
        <v>0</v>
      </c>
      <c r="C96" s="21" t="s">
        <v>25</v>
      </c>
    </row>
    <row r="97" spans="1:3" x14ac:dyDescent="0.2">
      <c r="A97" s="2">
        <v>96</v>
      </c>
      <c r="B97" s="6">
        <v>0</v>
      </c>
      <c r="C97" s="21" t="s">
        <v>24</v>
      </c>
    </row>
    <row r="98" spans="1:3" x14ac:dyDescent="0.2">
      <c r="A98" s="2">
        <v>97</v>
      </c>
      <c r="B98" s="6">
        <v>0</v>
      </c>
      <c r="C98" s="21" t="s">
        <v>26</v>
      </c>
    </row>
    <row r="99" spans="1:3" x14ac:dyDescent="0.2">
      <c r="A99" s="2">
        <v>98</v>
      </c>
      <c r="B99" s="6">
        <v>0</v>
      </c>
      <c r="C99" s="21" t="s">
        <v>26</v>
      </c>
    </row>
    <row r="100" spans="1:3" x14ac:dyDescent="0.2">
      <c r="A100" s="2">
        <v>99</v>
      </c>
      <c r="B100" s="6">
        <v>0</v>
      </c>
      <c r="C100" s="21" t="s">
        <v>25</v>
      </c>
    </row>
    <row r="101" spans="1:3" x14ac:dyDescent="0.2">
      <c r="A101" s="2">
        <v>100</v>
      </c>
      <c r="B101" s="6">
        <v>0</v>
      </c>
      <c r="C101" s="21" t="s">
        <v>24</v>
      </c>
    </row>
    <row r="102" spans="1:3" x14ac:dyDescent="0.2">
      <c r="A102" s="2">
        <v>101</v>
      </c>
      <c r="B102" s="6">
        <v>0</v>
      </c>
      <c r="C102" s="21" t="s">
        <v>27</v>
      </c>
    </row>
    <row r="103" spans="1:3" x14ac:dyDescent="0.2">
      <c r="A103" s="2">
        <v>102</v>
      </c>
      <c r="B103" s="6">
        <v>1</v>
      </c>
      <c r="C103" s="21" t="s">
        <v>25</v>
      </c>
    </row>
    <row r="104" spans="1:3" x14ac:dyDescent="0.2">
      <c r="A104" s="2">
        <v>103</v>
      </c>
      <c r="B104" s="6">
        <v>0</v>
      </c>
      <c r="C104" s="21" t="s">
        <v>24</v>
      </c>
    </row>
    <row r="105" spans="1:3" x14ac:dyDescent="0.2">
      <c r="A105" s="2">
        <v>104</v>
      </c>
      <c r="B105" s="6">
        <v>0</v>
      </c>
      <c r="C105" s="21" t="s">
        <v>26</v>
      </c>
    </row>
    <row r="106" spans="1:3" x14ac:dyDescent="0.2">
      <c r="A106" s="2">
        <v>105</v>
      </c>
      <c r="B106" s="6">
        <v>0</v>
      </c>
      <c r="C106" s="21" t="s">
        <v>24</v>
      </c>
    </row>
    <row r="107" spans="1:3" x14ac:dyDescent="0.2">
      <c r="A107" s="2">
        <v>106</v>
      </c>
      <c r="B107" s="6">
        <v>0</v>
      </c>
      <c r="C107" s="21" t="s">
        <v>25</v>
      </c>
    </row>
    <row r="108" spans="1:3" x14ac:dyDescent="0.2">
      <c r="A108" s="2">
        <v>107</v>
      </c>
      <c r="B108" s="6">
        <v>1</v>
      </c>
      <c r="C108" s="21" t="s">
        <v>26</v>
      </c>
    </row>
    <row r="109" spans="1:3" x14ac:dyDescent="0.2">
      <c r="A109" s="2">
        <v>108</v>
      </c>
      <c r="B109" s="6">
        <v>0</v>
      </c>
      <c r="C109" s="21" t="s">
        <v>27</v>
      </c>
    </row>
    <row r="110" spans="1:3" x14ac:dyDescent="0.2">
      <c r="A110" s="2">
        <v>109</v>
      </c>
      <c r="B110" s="6">
        <v>0</v>
      </c>
      <c r="C110" s="21" t="s">
        <v>26</v>
      </c>
    </row>
    <row r="111" spans="1:3" x14ac:dyDescent="0.2">
      <c r="A111" s="2">
        <v>110</v>
      </c>
      <c r="B111" s="6">
        <v>0</v>
      </c>
      <c r="C111" s="21" t="s">
        <v>26</v>
      </c>
    </row>
    <row r="112" spans="1:3" x14ac:dyDescent="0.2">
      <c r="A112" s="2">
        <v>111</v>
      </c>
      <c r="B112" s="6">
        <v>0</v>
      </c>
      <c r="C112" s="21" t="s">
        <v>25</v>
      </c>
    </row>
    <row r="113" spans="1:3" x14ac:dyDescent="0.2">
      <c r="A113" s="2">
        <v>112</v>
      </c>
      <c r="B113" s="6">
        <v>0</v>
      </c>
      <c r="C113" s="21" t="s">
        <v>25</v>
      </c>
    </row>
    <row r="114" spans="1:3" x14ac:dyDescent="0.2">
      <c r="A114" s="2">
        <v>113</v>
      </c>
      <c r="B114" s="6">
        <v>0</v>
      </c>
      <c r="C114" s="21" t="s">
        <v>25</v>
      </c>
    </row>
    <row r="115" spans="1:3" x14ac:dyDescent="0.2">
      <c r="A115" s="2">
        <v>114</v>
      </c>
      <c r="B115" s="6">
        <v>0</v>
      </c>
      <c r="C115" s="21" t="s">
        <v>24</v>
      </c>
    </row>
    <row r="116" spans="1:3" x14ac:dyDescent="0.2">
      <c r="A116" s="2">
        <v>115</v>
      </c>
      <c r="B116" s="6">
        <v>0</v>
      </c>
      <c r="C116" s="21" t="s">
        <v>26</v>
      </c>
    </row>
    <row r="117" spans="1:3" x14ac:dyDescent="0.2">
      <c r="A117" s="2">
        <v>116</v>
      </c>
      <c r="B117" s="6">
        <v>0</v>
      </c>
      <c r="C117" s="21" t="s">
        <v>26</v>
      </c>
    </row>
    <row r="118" spans="1:3" x14ac:dyDescent="0.2">
      <c r="A118" s="2">
        <v>117</v>
      </c>
      <c r="B118" s="6">
        <v>1</v>
      </c>
      <c r="C118" s="21" t="s">
        <v>25</v>
      </c>
    </row>
    <row r="119" spans="1:3" x14ac:dyDescent="0.2">
      <c r="A119" s="2">
        <v>118</v>
      </c>
      <c r="B119" s="6">
        <v>1</v>
      </c>
      <c r="C119" s="21" t="s">
        <v>26</v>
      </c>
    </row>
    <row r="120" spans="1:3" x14ac:dyDescent="0.2">
      <c r="A120" s="2">
        <v>119</v>
      </c>
      <c r="B120" s="6">
        <v>1</v>
      </c>
      <c r="C120" s="21" t="s">
        <v>25</v>
      </c>
    </row>
    <row r="121" spans="1:3" x14ac:dyDescent="0.2">
      <c r="A121" s="2">
        <v>120</v>
      </c>
      <c r="B121" s="6">
        <v>0</v>
      </c>
      <c r="C121" s="21" t="s">
        <v>25</v>
      </c>
    </row>
    <row r="122" spans="1:3" x14ac:dyDescent="0.2">
      <c r="A122" s="2">
        <v>121</v>
      </c>
      <c r="B122" s="6">
        <v>0</v>
      </c>
      <c r="C122" s="21" t="s">
        <v>26</v>
      </c>
    </row>
    <row r="123" spans="1:3" x14ac:dyDescent="0.2">
      <c r="A123" s="2">
        <v>122</v>
      </c>
      <c r="B123" s="6">
        <v>1</v>
      </c>
      <c r="C123" s="21" t="s">
        <v>26</v>
      </c>
    </row>
    <row r="124" spans="1:3" x14ac:dyDescent="0.2">
      <c r="A124" s="2">
        <v>123</v>
      </c>
      <c r="B124" s="6">
        <v>0</v>
      </c>
      <c r="C124" s="21" t="s">
        <v>26</v>
      </c>
    </row>
    <row r="125" spans="1:3" x14ac:dyDescent="0.2">
      <c r="A125" s="2">
        <v>124</v>
      </c>
      <c r="B125" s="6">
        <v>0</v>
      </c>
      <c r="C125" s="21" t="s">
        <v>25</v>
      </c>
    </row>
    <row r="126" spans="1:3" x14ac:dyDescent="0.2">
      <c r="A126" s="2">
        <v>125</v>
      </c>
      <c r="B126" s="6">
        <v>1</v>
      </c>
      <c r="C126" s="21" t="s">
        <v>25</v>
      </c>
    </row>
    <row r="127" spans="1:3" x14ac:dyDescent="0.2">
      <c r="A127" s="2">
        <v>126</v>
      </c>
      <c r="B127" s="6">
        <v>1</v>
      </c>
      <c r="C127" s="21" t="s">
        <v>25</v>
      </c>
    </row>
    <row r="128" spans="1:3" x14ac:dyDescent="0.2">
      <c r="A128" s="2">
        <v>127</v>
      </c>
      <c r="B128" s="6">
        <v>0</v>
      </c>
      <c r="C128" s="21" t="s">
        <v>25</v>
      </c>
    </row>
    <row r="129" spans="1:3" x14ac:dyDescent="0.2">
      <c r="A129" s="2">
        <v>128</v>
      </c>
      <c r="B129" s="6">
        <v>0</v>
      </c>
      <c r="C129" s="21" t="s">
        <v>24</v>
      </c>
    </row>
    <row r="130" spans="1:3" x14ac:dyDescent="0.2">
      <c r="A130" s="2">
        <v>129</v>
      </c>
      <c r="B130" s="6">
        <v>0</v>
      </c>
      <c r="C130" s="21" t="s">
        <v>24</v>
      </c>
    </row>
    <row r="131" spans="1:3" x14ac:dyDescent="0.2">
      <c r="A131" s="2">
        <v>130</v>
      </c>
      <c r="B131" s="6">
        <v>1</v>
      </c>
      <c r="C131" s="21" t="s">
        <v>26</v>
      </c>
    </row>
    <row r="132" spans="1:3" x14ac:dyDescent="0.2">
      <c r="A132" s="2">
        <v>131</v>
      </c>
      <c r="B132" s="6">
        <v>1</v>
      </c>
      <c r="C132" s="21" t="s">
        <v>25</v>
      </c>
    </row>
    <row r="133" spans="1:3" x14ac:dyDescent="0.2">
      <c r="A133" s="2">
        <v>132</v>
      </c>
      <c r="B133" s="6">
        <v>0</v>
      </c>
      <c r="C133" s="21" t="s">
        <v>27</v>
      </c>
    </row>
    <row r="134" spans="1:3" x14ac:dyDescent="0.2">
      <c r="A134" s="2">
        <v>133</v>
      </c>
      <c r="B134" s="6">
        <v>0</v>
      </c>
      <c r="C134" s="21" t="s">
        <v>26</v>
      </c>
    </row>
    <row r="135" spans="1:3" x14ac:dyDescent="0.2">
      <c r="A135" s="2">
        <v>134</v>
      </c>
      <c r="B135" s="6">
        <v>1</v>
      </c>
      <c r="C135" s="21" t="s">
        <v>27</v>
      </c>
    </row>
    <row r="136" spans="1:3" x14ac:dyDescent="0.2">
      <c r="A136" s="2">
        <v>135</v>
      </c>
      <c r="B136" s="6">
        <v>0</v>
      </c>
      <c r="C136" s="21" t="s">
        <v>27</v>
      </c>
    </row>
    <row r="137" spans="1:3" x14ac:dyDescent="0.2">
      <c r="A137" s="2">
        <v>136</v>
      </c>
      <c r="B137" s="6">
        <v>0</v>
      </c>
      <c r="C137" s="21" t="s">
        <v>26</v>
      </c>
    </row>
    <row r="138" spans="1:3" x14ac:dyDescent="0.2">
      <c r="A138" s="2">
        <v>137</v>
      </c>
      <c r="B138" s="6">
        <v>1</v>
      </c>
      <c r="C138" s="21" t="s">
        <v>27</v>
      </c>
    </row>
    <row r="139" spans="1:3" x14ac:dyDescent="0.2">
      <c r="A139" s="2">
        <v>138</v>
      </c>
      <c r="B139" s="6">
        <v>0</v>
      </c>
      <c r="C139" s="21" t="s">
        <v>25</v>
      </c>
    </row>
    <row r="140" spans="1:3" x14ac:dyDescent="0.2">
      <c r="A140" s="2">
        <v>139</v>
      </c>
      <c r="B140" s="6">
        <v>0</v>
      </c>
      <c r="C140" s="21" t="s">
        <v>27</v>
      </c>
    </row>
    <row r="141" spans="1:3" x14ac:dyDescent="0.2">
      <c r="A141" s="2">
        <v>140</v>
      </c>
      <c r="B141" s="6">
        <v>0</v>
      </c>
      <c r="C141" s="21" t="s">
        <v>26</v>
      </c>
    </row>
    <row r="142" spans="1:3" x14ac:dyDescent="0.2">
      <c r="A142" s="2">
        <v>141</v>
      </c>
      <c r="B142" s="6">
        <v>0</v>
      </c>
      <c r="C142" s="21" t="s">
        <v>27</v>
      </c>
    </row>
    <row r="143" spans="1:3" x14ac:dyDescent="0.2">
      <c r="A143" s="2">
        <v>142</v>
      </c>
      <c r="B143" s="6">
        <v>1</v>
      </c>
      <c r="C143" s="21" t="s">
        <v>25</v>
      </c>
    </row>
    <row r="144" spans="1:3" x14ac:dyDescent="0.2">
      <c r="A144" s="2">
        <v>143</v>
      </c>
      <c r="B144" s="6">
        <v>0</v>
      </c>
      <c r="C144" s="21" t="s">
        <v>26</v>
      </c>
    </row>
    <row r="145" spans="1:3" x14ac:dyDescent="0.2">
      <c r="A145" s="2">
        <v>144</v>
      </c>
      <c r="B145" s="6">
        <v>1</v>
      </c>
      <c r="C145" s="21" t="s">
        <v>27</v>
      </c>
    </row>
    <row r="146" spans="1:3" x14ac:dyDescent="0.2">
      <c r="A146" s="2">
        <v>145</v>
      </c>
      <c r="B146" s="6">
        <v>0</v>
      </c>
      <c r="C146" s="21" t="s">
        <v>24</v>
      </c>
    </row>
    <row r="147" spans="1:3" x14ac:dyDescent="0.2">
      <c r="A147" s="2">
        <v>146</v>
      </c>
      <c r="B147" s="6">
        <v>0</v>
      </c>
      <c r="C147" s="21" t="s">
        <v>24</v>
      </c>
    </row>
    <row r="148" spans="1:3" x14ac:dyDescent="0.2">
      <c r="A148" s="2">
        <v>147</v>
      </c>
      <c r="B148" s="6">
        <v>0</v>
      </c>
      <c r="C148" s="21" t="s">
        <v>24</v>
      </c>
    </row>
    <row r="149" spans="1:3" x14ac:dyDescent="0.2">
      <c r="A149" s="2">
        <v>148</v>
      </c>
      <c r="B149" s="6">
        <v>0</v>
      </c>
      <c r="C149" s="21" t="s">
        <v>25</v>
      </c>
    </row>
    <row r="150" spans="1:3" x14ac:dyDescent="0.2">
      <c r="A150" s="2">
        <v>149</v>
      </c>
      <c r="B150" s="6">
        <v>0</v>
      </c>
      <c r="C150" s="21" t="s">
        <v>27</v>
      </c>
    </row>
    <row r="151" spans="1:3" x14ac:dyDescent="0.2">
      <c r="A151" s="2">
        <v>150</v>
      </c>
      <c r="B151" s="6">
        <v>0</v>
      </c>
      <c r="C151" s="21" t="s">
        <v>24</v>
      </c>
    </row>
    <row r="152" spans="1:3" x14ac:dyDescent="0.2">
      <c r="A152" s="2">
        <v>151</v>
      </c>
      <c r="B152" s="6">
        <v>0</v>
      </c>
      <c r="C152" s="21" t="s">
        <v>24</v>
      </c>
    </row>
    <row r="153" spans="1:3" x14ac:dyDescent="0.2">
      <c r="A153" s="2">
        <v>152</v>
      </c>
      <c r="B153" s="6">
        <v>0</v>
      </c>
      <c r="C153" s="21" t="s">
        <v>25</v>
      </c>
    </row>
    <row r="154" spans="1:3" x14ac:dyDescent="0.2">
      <c r="A154" s="2">
        <v>153</v>
      </c>
      <c r="B154" s="6">
        <v>0</v>
      </c>
      <c r="C154" s="21" t="s">
        <v>24</v>
      </c>
    </row>
    <row r="155" spans="1:3" x14ac:dyDescent="0.2">
      <c r="A155" s="2">
        <v>154</v>
      </c>
      <c r="B155" s="6">
        <v>0</v>
      </c>
      <c r="C155" s="21" t="s">
        <v>26</v>
      </c>
    </row>
    <row r="156" spans="1:3" x14ac:dyDescent="0.2">
      <c r="A156" s="2">
        <v>155</v>
      </c>
      <c r="B156" s="6">
        <v>0</v>
      </c>
      <c r="C156" s="21" t="s">
        <v>27</v>
      </c>
    </row>
    <row r="157" spans="1:3" x14ac:dyDescent="0.2">
      <c r="A157" s="2">
        <v>156</v>
      </c>
      <c r="B157" s="6">
        <v>0</v>
      </c>
      <c r="C157" s="21" t="s">
        <v>27</v>
      </c>
    </row>
    <row r="158" spans="1:3" x14ac:dyDescent="0.2">
      <c r="A158" s="2">
        <v>157</v>
      </c>
      <c r="B158" s="6">
        <v>0</v>
      </c>
      <c r="C158" s="21" t="s">
        <v>27</v>
      </c>
    </row>
    <row r="159" spans="1:3" x14ac:dyDescent="0.2">
      <c r="A159" s="2">
        <v>158</v>
      </c>
      <c r="B159" s="6">
        <v>0</v>
      </c>
      <c r="C159" s="21" t="s">
        <v>27</v>
      </c>
    </row>
    <row r="160" spans="1:3" x14ac:dyDescent="0.2">
      <c r="A160" s="2">
        <v>159</v>
      </c>
      <c r="B160" s="6">
        <v>0</v>
      </c>
      <c r="C160" s="21" t="s">
        <v>24</v>
      </c>
    </row>
    <row r="161" spans="1:3" x14ac:dyDescent="0.2">
      <c r="A161" s="2">
        <v>160</v>
      </c>
      <c r="B161" s="6">
        <v>0</v>
      </c>
      <c r="C161" s="21" t="s">
        <v>24</v>
      </c>
    </row>
    <row r="162" spans="1:3" x14ac:dyDescent="0.2">
      <c r="A162" s="2">
        <v>161</v>
      </c>
      <c r="B162" s="6">
        <v>1</v>
      </c>
      <c r="C162" s="21" t="s">
        <v>25</v>
      </c>
    </row>
    <row r="163" spans="1:3" x14ac:dyDescent="0.2">
      <c r="A163" s="2">
        <v>162</v>
      </c>
      <c r="B163" s="6">
        <v>1</v>
      </c>
      <c r="C163" s="21" t="s">
        <v>25</v>
      </c>
    </row>
    <row r="164" spans="1:3" x14ac:dyDescent="0.2">
      <c r="A164" s="2">
        <v>163</v>
      </c>
      <c r="B164" s="6">
        <v>0</v>
      </c>
      <c r="C164" s="21" t="s">
        <v>26</v>
      </c>
    </row>
    <row r="165" spans="1:3" x14ac:dyDescent="0.2">
      <c r="A165" s="2">
        <v>164</v>
      </c>
      <c r="B165" s="6">
        <v>0</v>
      </c>
      <c r="C165" s="21" t="s">
        <v>25</v>
      </c>
    </row>
    <row r="166" spans="1:3" x14ac:dyDescent="0.2">
      <c r="A166" s="2">
        <v>165</v>
      </c>
      <c r="B166" s="6">
        <v>1</v>
      </c>
      <c r="C166" s="21" t="s">
        <v>26</v>
      </c>
    </row>
    <row r="167" spans="1:3" x14ac:dyDescent="0.2">
      <c r="A167" s="2">
        <v>166</v>
      </c>
      <c r="B167" s="6">
        <v>0</v>
      </c>
      <c r="C167" s="21" t="s">
        <v>24</v>
      </c>
    </row>
    <row r="168" spans="1:3" x14ac:dyDescent="0.2">
      <c r="A168" s="2">
        <v>167</v>
      </c>
      <c r="B168" s="6">
        <v>1</v>
      </c>
      <c r="C168" s="21" t="s">
        <v>24</v>
      </c>
    </row>
    <row r="169" spans="1:3" x14ac:dyDescent="0.2">
      <c r="A169" s="2">
        <v>168</v>
      </c>
      <c r="B169" s="6">
        <v>1</v>
      </c>
      <c r="C169" s="21" t="s">
        <v>25</v>
      </c>
    </row>
    <row r="170" spans="1:3" x14ac:dyDescent="0.2">
      <c r="A170" s="2">
        <v>169</v>
      </c>
      <c r="B170" s="6">
        <v>1</v>
      </c>
      <c r="C170" s="21" t="s">
        <v>24</v>
      </c>
    </row>
    <row r="171" spans="1:3" x14ac:dyDescent="0.2">
      <c r="A171" s="2">
        <v>170</v>
      </c>
      <c r="B171" s="6">
        <v>0</v>
      </c>
      <c r="C171" s="21" t="s">
        <v>26</v>
      </c>
    </row>
    <row r="172" spans="1:3" x14ac:dyDescent="0.2">
      <c r="A172" s="2">
        <v>171</v>
      </c>
      <c r="B172" s="6">
        <v>0</v>
      </c>
      <c r="C172" s="21" t="s">
        <v>26</v>
      </c>
    </row>
    <row r="173" spans="1:3" x14ac:dyDescent="0.2">
      <c r="A173" s="2">
        <v>172</v>
      </c>
      <c r="B173" s="6">
        <v>0</v>
      </c>
      <c r="C173" s="21" t="s">
        <v>24</v>
      </c>
    </row>
    <row r="174" spans="1:3" x14ac:dyDescent="0.2">
      <c r="A174" s="2">
        <v>173</v>
      </c>
      <c r="B174" s="6">
        <v>0</v>
      </c>
      <c r="C174" s="21" t="s">
        <v>27</v>
      </c>
    </row>
    <row r="175" spans="1:3" x14ac:dyDescent="0.2">
      <c r="A175" s="2">
        <v>174</v>
      </c>
      <c r="B175" s="6">
        <v>0</v>
      </c>
      <c r="C175" s="21" t="s">
        <v>24</v>
      </c>
    </row>
    <row r="176" spans="1:3" x14ac:dyDescent="0.2">
      <c r="A176" s="2">
        <v>175</v>
      </c>
      <c r="B176" s="6">
        <v>0</v>
      </c>
      <c r="C176" s="21" t="s">
        <v>24</v>
      </c>
    </row>
    <row r="177" spans="1:3" x14ac:dyDescent="0.2">
      <c r="A177" s="2">
        <v>176</v>
      </c>
      <c r="B177" s="6">
        <v>0</v>
      </c>
      <c r="C177" s="21" t="s">
        <v>25</v>
      </c>
    </row>
    <row r="178" spans="1:3" x14ac:dyDescent="0.2">
      <c r="A178" s="2">
        <v>177</v>
      </c>
      <c r="B178" s="6">
        <v>1</v>
      </c>
      <c r="C178" s="21" t="s">
        <v>26</v>
      </c>
    </row>
    <row r="179" spans="1:3" x14ac:dyDescent="0.2">
      <c r="A179" s="2">
        <v>178</v>
      </c>
      <c r="B179" s="6">
        <v>0</v>
      </c>
      <c r="C179" s="21" t="s">
        <v>27</v>
      </c>
    </row>
    <row r="180" spans="1:3" x14ac:dyDescent="0.2">
      <c r="A180" s="2">
        <v>179</v>
      </c>
      <c r="B180" s="6">
        <v>1</v>
      </c>
      <c r="C180" s="21" t="s">
        <v>27</v>
      </c>
    </row>
    <row r="181" spans="1:3" x14ac:dyDescent="0.2">
      <c r="A181" s="2">
        <v>180</v>
      </c>
      <c r="B181" s="6">
        <v>1</v>
      </c>
      <c r="C181" s="21" t="s">
        <v>27</v>
      </c>
    </row>
    <row r="182" spans="1:3" x14ac:dyDescent="0.2">
      <c r="A182" s="2">
        <v>181</v>
      </c>
      <c r="B182" s="6">
        <v>0</v>
      </c>
      <c r="C182" s="21" t="s">
        <v>26</v>
      </c>
    </row>
    <row r="183" spans="1:3" x14ac:dyDescent="0.2">
      <c r="A183" s="2">
        <v>182</v>
      </c>
      <c r="B183" s="6">
        <v>0</v>
      </c>
      <c r="C183" s="21" t="s">
        <v>25</v>
      </c>
    </row>
    <row r="184" spans="1:3" x14ac:dyDescent="0.2">
      <c r="A184" s="2">
        <v>183</v>
      </c>
      <c r="B184" s="6">
        <v>1</v>
      </c>
      <c r="C184" s="21" t="s">
        <v>26</v>
      </c>
    </row>
    <row r="185" spans="1:3" x14ac:dyDescent="0.2">
      <c r="A185" s="2">
        <v>184</v>
      </c>
      <c r="B185" s="6">
        <v>0</v>
      </c>
      <c r="C185" s="21" t="s">
        <v>24</v>
      </c>
    </row>
    <row r="186" spans="1:3" x14ac:dyDescent="0.2">
      <c r="A186" s="2">
        <v>185</v>
      </c>
      <c r="B186" s="6">
        <v>0</v>
      </c>
      <c r="C186" s="21" t="s">
        <v>26</v>
      </c>
    </row>
    <row r="187" spans="1:3" x14ac:dyDescent="0.2">
      <c r="A187" s="2">
        <v>186</v>
      </c>
      <c r="B187" s="6">
        <v>0</v>
      </c>
      <c r="C187" s="21" t="s">
        <v>27</v>
      </c>
    </row>
    <row r="188" spans="1:3" x14ac:dyDescent="0.2">
      <c r="A188" s="2">
        <v>187</v>
      </c>
      <c r="B188" s="6">
        <v>0</v>
      </c>
      <c r="C188" s="21" t="s">
        <v>26</v>
      </c>
    </row>
    <row r="189" spans="1:3" x14ac:dyDescent="0.2">
      <c r="A189" s="2">
        <v>188</v>
      </c>
      <c r="B189" s="6">
        <v>0</v>
      </c>
      <c r="C189" s="21" t="s">
        <v>26</v>
      </c>
    </row>
    <row r="190" spans="1:3" x14ac:dyDescent="0.2">
      <c r="A190" s="2">
        <v>189</v>
      </c>
      <c r="B190" s="6">
        <v>0</v>
      </c>
      <c r="C190" s="21" t="s">
        <v>26</v>
      </c>
    </row>
    <row r="191" spans="1:3" x14ac:dyDescent="0.2">
      <c r="A191" s="2">
        <v>190</v>
      </c>
      <c r="B191" s="6">
        <v>0</v>
      </c>
      <c r="C191" s="21" t="s">
        <v>24</v>
      </c>
    </row>
    <row r="192" spans="1:3" x14ac:dyDescent="0.2">
      <c r="A192" s="2">
        <v>191</v>
      </c>
      <c r="B192" s="6">
        <v>0</v>
      </c>
      <c r="C192" s="21" t="s">
        <v>25</v>
      </c>
    </row>
    <row r="193" spans="1:3" x14ac:dyDescent="0.2">
      <c r="A193" s="2">
        <v>192</v>
      </c>
      <c r="B193" s="6">
        <v>0</v>
      </c>
      <c r="C193" s="21" t="s">
        <v>26</v>
      </c>
    </row>
    <row r="194" spans="1:3" x14ac:dyDescent="0.2">
      <c r="A194" s="2">
        <v>193</v>
      </c>
      <c r="B194" s="6">
        <v>0</v>
      </c>
      <c r="C194" s="21" t="s">
        <v>25</v>
      </c>
    </row>
    <row r="195" spans="1:3" x14ac:dyDescent="0.2">
      <c r="A195" s="2">
        <v>194</v>
      </c>
      <c r="B195" s="6">
        <v>0</v>
      </c>
      <c r="C195" s="21" t="s">
        <v>24</v>
      </c>
    </row>
    <row r="196" spans="1:3" x14ac:dyDescent="0.2">
      <c r="A196" s="2">
        <v>195</v>
      </c>
      <c r="B196" s="6">
        <v>1</v>
      </c>
      <c r="C196" s="21" t="s">
        <v>24</v>
      </c>
    </row>
    <row r="197" spans="1:3" x14ac:dyDescent="0.2">
      <c r="A197" s="2">
        <v>196</v>
      </c>
      <c r="B197" s="6">
        <v>0</v>
      </c>
      <c r="C197" s="21" t="s">
        <v>25</v>
      </c>
    </row>
    <row r="198" spans="1:3" x14ac:dyDescent="0.2">
      <c r="A198" s="2">
        <v>197</v>
      </c>
      <c r="B198" s="6">
        <v>0</v>
      </c>
      <c r="C198" s="21" t="s">
        <v>25</v>
      </c>
    </row>
    <row r="199" spans="1:3" x14ac:dyDescent="0.2">
      <c r="A199" s="2">
        <v>198</v>
      </c>
      <c r="B199" s="6">
        <v>0</v>
      </c>
      <c r="C199" s="21" t="s">
        <v>25</v>
      </c>
    </row>
    <row r="200" spans="1:3" x14ac:dyDescent="0.2">
      <c r="A200" s="2">
        <v>199</v>
      </c>
      <c r="B200" s="6">
        <v>0</v>
      </c>
      <c r="C200" s="21" t="s">
        <v>24</v>
      </c>
    </row>
    <row r="201" spans="1:3" x14ac:dyDescent="0.2">
      <c r="A201" s="2">
        <v>200</v>
      </c>
      <c r="B201" s="6">
        <v>0</v>
      </c>
      <c r="C201" s="21" t="s">
        <v>27</v>
      </c>
    </row>
    <row r="202" spans="1:3" x14ac:dyDescent="0.2">
      <c r="A202" s="2">
        <v>201</v>
      </c>
      <c r="B202" s="6">
        <v>1</v>
      </c>
      <c r="C202" s="21" t="s">
        <v>24</v>
      </c>
    </row>
    <row r="203" spans="1:3" x14ac:dyDescent="0.2">
      <c r="A203" s="2">
        <v>202</v>
      </c>
      <c r="B203" s="6">
        <v>0</v>
      </c>
      <c r="C203" s="21" t="s">
        <v>24</v>
      </c>
    </row>
    <row r="204" spans="1:3" x14ac:dyDescent="0.2">
      <c r="A204" s="2">
        <v>203</v>
      </c>
      <c r="B204" s="6">
        <v>1</v>
      </c>
      <c r="C204" s="21" t="s">
        <v>26</v>
      </c>
    </row>
    <row r="205" spans="1:3" x14ac:dyDescent="0.2">
      <c r="A205" s="2">
        <v>204</v>
      </c>
      <c r="B205" s="6">
        <v>0</v>
      </c>
      <c r="C205" s="21" t="s">
        <v>24</v>
      </c>
    </row>
    <row r="206" spans="1:3" x14ac:dyDescent="0.2">
      <c r="A206" s="2">
        <v>205</v>
      </c>
      <c r="B206" s="6">
        <v>0</v>
      </c>
      <c r="C206" s="21" t="s">
        <v>25</v>
      </c>
    </row>
    <row r="207" spans="1:3" x14ac:dyDescent="0.2">
      <c r="A207" s="2">
        <v>206</v>
      </c>
      <c r="B207" s="6">
        <v>0</v>
      </c>
      <c r="C207" s="21" t="s">
        <v>26</v>
      </c>
    </row>
    <row r="208" spans="1:3" x14ac:dyDescent="0.2">
      <c r="A208" s="2">
        <v>207</v>
      </c>
      <c r="B208" s="6">
        <v>1</v>
      </c>
      <c r="C208" s="21" t="s">
        <v>24</v>
      </c>
    </row>
    <row r="209" spans="1:3" x14ac:dyDescent="0.2">
      <c r="A209" s="2">
        <v>208</v>
      </c>
      <c r="B209" s="6">
        <v>0</v>
      </c>
      <c r="C209" s="21" t="s">
        <v>24</v>
      </c>
    </row>
    <row r="210" spans="1:3" x14ac:dyDescent="0.2">
      <c r="A210" s="2">
        <v>209</v>
      </c>
      <c r="B210" s="6">
        <v>0</v>
      </c>
      <c r="C210" s="21" t="s">
        <v>24</v>
      </c>
    </row>
    <row r="211" spans="1:3" x14ac:dyDescent="0.2">
      <c r="A211" s="2">
        <v>210</v>
      </c>
      <c r="B211" s="6">
        <v>0</v>
      </c>
      <c r="C211" s="21" t="s">
        <v>26</v>
      </c>
    </row>
    <row r="212" spans="1:3" x14ac:dyDescent="0.2">
      <c r="A212" s="2">
        <v>211</v>
      </c>
      <c r="B212" s="6">
        <v>0</v>
      </c>
      <c r="C212" s="21" t="s">
        <v>24</v>
      </c>
    </row>
    <row r="213" spans="1:3" x14ac:dyDescent="0.2">
      <c r="A213" s="2">
        <v>212</v>
      </c>
      <c r="B213" s="6">
        <v>0</v>
      </c>
      <c r="C213" s="21" t="s">
        <v>27</v>
      </c>
    </row>
    <row r="214" spans="1:3" x14ac:dyDescent="0.2">
      <c r="A214" s="2">
        <v>213</v>
      </c>
      <c r="B214" s="6">
        <v>0</v>
      </c>
      <c r="C214" s="21" t="s">
        <v>25</v>
      </c>
    </row>
    <row r="215" spans="1:3" x14ac:dyDescent="0.2">
      <c r="A215" s="2">
        <v>214</v>
      </c>
      <c r="B215" s="6">
        <v>0</v>
      </c>
      <c r="C215" s="21" t="s">
        <v>25</v>
      </c>
    </row>
    <row r="216" spans="1:3" x14ac:dyDescent="0.2">
      <c r="A216" s="2">
        <v>215</v>
      </c>
      <c r="B216" s="6">
        <v>0</v>
      </c>
      <c r="C216" s="21" t="s">
        <v>26</v>
      </c>
    </row>
    <row r="217" spans="1:3" x14ac:dyDescent="0.2">
      <c r="A217" s="2">
        <v>216</v>
      </c>
      <c r="B217" s="6">
        <v>0</v>
      </c>
      <c r="C217" s="21" t="s">
        <v>26</v>
      </c>
    </row>
    <row r="218" spans="1:3" x14ac:dyDescent="0.2">
      <c r="A218" s="2">
        <v>217</v>
      </c>
      <c r="B218" s="6">
        <v>1</v>
      </c>
      <c r="C218" s="21" t="s">
        <v>27</v>
      </c>
    </row>
    <row r="219" spans="1:3" x14ac:dyDescent="0.2">
      <c r="A219" s="2">
        <v>218</v>
      </c>
      <c r="B219" s="6">
        <v>1</v>
      </c>
      <c r="C219" s="21" t="s">
        <v>24</v>
      </c>
    </row>
    <row r="220" spans="1:3" x14ac:dyDescent="0.2">
      <c r="A220" s="2">
        <v>219</v>
      </c>
      <c r="B220" s="6">
        <v>1</v>
      </c>
      <c r="C220" s="21" t="s">
        <v>25</v>
      </c>
    </row>
    <row r="221" spans="1:3" x14ac:dyDescent="0.2">
      <c r="A221" s="2">
        <v>220</v>
      </c>
      <c r="B221" s="6">
        <v>0</v>
      </c>
      <c r="C221" s="21" t="s">
        <v>25</v>
      </c>
    </row>
    <row r="222" spans="1:3" x14ac:dyDescent="0.2">
      <c r="A222" s="2">
        <v>221</v>
      </c>
      <c r="B222" s="6">
        <v>0</v>
      </c>
      <c r="C222" s="21" t="s">
        <v>25</v>
      </c>
    </row>
    <row r="223" spans="1:3" x14ac:dyDescent="0.2">
      <c r="A223" s="2">
        <v>222</v>
      </c>
      <c r="B223" s="6">
        <v>0</v>
      </c>
      <c r="C223" s="21" t="s">
        <v>25</v>
      </c>
    </row>
    <row r="224" spans="1:3" x14ac:dyDescent="0.2">
      <c r="A224" s="2">
        <v>223</v>
      </c>
      <c r="B224" s="6">
        <v>0</v>
      </c>
      <c r="C224" s="21" t="s">
        <v>27</v>
      </c>
    </row>
    <row r="225" spans="1:3" x14ac:dyDescent="0.2">
      <c r="A225" s="2">
        <v>224</v>
      </c>
      <c r="B225" s="6">
        <v>0</v>
      </c>
      <c r="C225" s="21" t="s">
        <v>26</v>
      </c>
    </row>
    <row r="226" spans="1:3" x14ac:dyDescent="0.2">
      <c r="A226" s="2">
        <v>225</v>
      </c>
      <c r="B226" s="6">
        <v>0</v>
      </c>
      <c r="C226" s="21" t="s">
        <v>26</v>
      </c>
    </row>
    <row r="227" spans="1:3" x14ac:dyDescent="0.2">
      <c r="A227" s="2">
        <v>226</v>
      </c>
      <c r="B227" s="6">
        <v>0</v>
      </c>
      <c r="C227" s="21" t="s">
        <v>25</v>
      </c>
    </row>
    <row r="228" spans="1:3" x14ac:dyDescent="0.2">
      <c r="A228" s="2">
        <v>227</v>
      </c>
      <c r="B228" s="6">
        <v>0</v>
      </c>
      <c r="C228" s="21" t="s">
        <v>25</v>
      </c>
    </row>
    <row r="229" spans="1:3" x14ac:dyDescent="0.2">
      <c r="A229" s="2">
        <v>228</v>
      </c>
      <c r="B229" s="6">
        <v>1</v>
      </c>
      <c r="C229" s="21" t="s">
        <v>26</v>
      </c>
    </row>
    <row r="230" spans="1:3" x14ac:dyDescent="0.2">
      <c r="A230" s="2">
        <v>229</v>
      </c>
      <c r="B230" s="6">
        <v>0</v>
      </c>
      <c r="C230" s="21" t="s">
        <v>24</v>
      </c>
    </row>
    <row r="231" spans="1:3" x14ac:dyDescent="0.2">
      <c r="A231" s="2">
        <v>230</v>
      </c>
      <c r="B231" s="6">
        <v>0</v>
      </c>
      <c r="C231" s="21" t="s">
        <v>25</v>
      </c>
    </row>
    <row r="232" spans="1:3" x14ac:dyDescent="0.2">
      <c r="A232" s="2">
        <v>231</v>
      </c>
      <c r="B232" s="6">
        <v>0</v>
      </c>
      <c r="C232" s="21" t="s">
        <v>27</v>
      </c>
    </row>
    <row r="233" spans="1:3" x14ac:dyDescent="0.2">
      <c r="A233" s="2">
        <v>232</v>
      </c>
      <c r="B233" s="6">
        <v>0</v>
      </c>
      <c r="C233" s="21" t="s">
        <v>25</v>
      </c>
    </row>
    <row r="234" spans="1:3" x14ac:dyDescent="0.2">
      <c r="A234" s="2">
        <v>233</v>
      </c>
      <c r="B234" s="6">
        <v>0</v>
      </c>
      <c r="C234" s="21" t="s">
        <v>25</v>
      </c>
    </row>
    <row r="235" spans="1:3" x14ac:dyDescent="0.2">
      <c r="A235" s="2">
        <v>234</v>
      </c>
      <c r="B235" s="6">
        <v>1</v>
      </c>
      <c r="C235" s="21" t="s">
        <v>26</v>
      </c>
    </row>
    <row r="236" spans="1:3" x14ac:dyDescent="0.2">
      <c r="A236" s="2">
        <v>235</v>
      </c>
      <c r="B236" s="6">
        <v>1</v>
      </c>
      <c r="C236" s="21" t="s">
        <v>26</v>
      </c>
    </row>
    <row r="237" spans="1:3" x14ac:dyDescent="0.2">
      <c r="A237" s="2">
        <v>236</v>
      </c>
      <c r="B237" s="6">
        <v>0</v>
      </c>
      <c r="C237" s="21" t="s">
        <v>24</v>
      </c>
    </row>
    <row r="238" spans="1:3" x14ac:dyDescent="0.2">
      <c r="A238" s="2">
        <v>237</v>
      </c>
      <c r="B238" s="6">
        <v>1</v>
      </c>
      <c r="C238" s="21" t="s">
        <v>25</v>
      </c>
    </row>
    <row r="239" spans="1:3" x14ac:dyDescent="0.2">
      <c r="A239" s="2">
        <v>238</v>
      </c>
      <c r="B239" s="6">
        <v>1</v>
      </c>
      <c r="C239" s="21" t="s">
        <v>24</v>
      </c>
    </row>
    <row r="240" spans="1:3" x14ac:dyDescent="0.2">
      <c r="A240" s="2">
        <v>239</v>
      </c>
      <c r="B240" s="6">
        <v>1</v>
      </c>
      <c r="C240" s="21" t="s">
        <v>27</v>
      </c>
    </row>
    <row r="241" spans="1:3" x14ac:dyDescent="0.2">
      <c r="A241" s="2">
        <v>240</v>
      </c>
      <c r="B241" s="6">
        <v>1</v>
      </c>
      <c r="C241" s="21" t="s">
        <v>25</v>
      </c>
    </row>
    <row r="242" spans="1:3" x14ac:dyDescent="0.2">
      <c r="A242" s="2">
        <v>241</v>
      </c>
      <c r="B242" s="6">
        <v>0</v>
      </c>
      <c r="C242" s="21" t="s">
        <v>26</v>
      </c>
    </row>
    <row r="243" spans="1:3" x14ac:dyDescent="0.2">
      <c r="A243" s="2">
        <v>242</v>
      </c>
      <c r="B243" s="6">
        <v>0</v>
      </c>
      <c r="C243" s="21" t="s">
        <v>25</v>
      </c>
    </row>
    <row r="244" spans="1:3" x14ac:dyDescent="0.2">
      <c r="A244" s="2">
        <v>243</v>
      </c>
      <c r="B244" s="6">
        <v>0</v>
      </c>
      <c r="C244" s="21" t="s">
        <v>25</v>
      </c>
    </row>
    <row r="245" spans="1:3" x14ac:dyDescent="0.2">
      <c r="A245" s="2">
        <v>244</v>
      </c>
      <c r="B245" s="6">
        <v>0</v>
      </c>
      <c r="C245" s="21" t="s">
        <v>25</v>
      </c>
    </row>
    <row r="246" spans="1:3" x14ac:dyDescent="0.2">
      <c r="A246" s="2">
        <v>245</v>
      </c>
      <c r="B246" s="6">
        <v>1</v>
      </c>
      <c r="C246" s="21" t="s">
        <v>26</v>
      </c>
    </row>
    <row r="247" spans="1:3" x14ac:dyDescent="0.2">
      <c r="A247" s="2">
        <v>246</v>
      </c>
      <c r="B247" s="6">
        <v>0</v>
      </c>
      <c r="C247" s="21" t="s">
        <v>24</v>
      </c>
    </row>
    <row r="248" spans="1:3" x14ac:dyDescent="0.2">
      <c r="A248" s="2">
        <v>247</v>
      </c>
      <c r="B248" s="6">
        <v>0</v>
      </c>
      <c r="C248" s="21" t="s">
        <v>27</v>
      </c>
    </row>
    <row r="249" spans="1:3" x14ac:dyDescent="0.2">
      <c r="A249" s="2">
        <v>248</v>
      </c>
      <c r="B249" s="6">
        <v>1</v>
      </c>
      <c r="C249" s="21" t="s">
        <v>24</v>
      </c>
    </row>
    <row r="250" spans="1:3" x14ac:dyDescent="0.2">
      <c r="A250" s="2">
        <v>249</v>
      </c>
      <c r="B250" s="6">
        <v>1</v>
      </c>
      <c r="C250" s="21" t="s">
        <v>27</v>
      </c>
    </row>
    <row r="251" spans="1:3" x14ac:dyDescent="0.2">
      <c r="A251" s="2">
        <v>250</v>
      </c>
      <c r="B251" s="6">
        <v>1</v>
      </c>
      <c r="C251" s="21" t="s">
        <v>27</v>
      </c>
    </row>
    <row r="252" spans="1:3" x14ac:dyDescent="0.2">
      <c r="A252" s="2">
        <v>251</v>
      </c>
      <c r="B252" s="6">
        <v>0</v>
      </c>
      <c r="C252" s="21" t="s">
        <v>26</v>
      </c>
    </row>
    <row r="253" spans="1:3" x14ac:dyDescent="0.2">
      <c r="A253" s="2">
        <v>252</v>
      </c>
      <c r="B253" s="6">
        <v>0</v>
      </c>
      <c r="C253" s="21" t="s">
        <v>27</v>
      </c>
    </row>
    <row r="254" spans="1:3" x14ac:dyDescent="0.2">
      <c r="A254" s="2">
        <v>253</v>
      </c>
      <c r="B254" s="6">
        <v>0</v>
      </c>
      <c r="C254" s="21" t="s">
        <v>25</v>
      </c>
    </row>
    <row r="255" spans="1:3" x14ac:dyDescent="0.2">
      <c r="A255" s="2">
        <v>254</v>
      </c>
      <c r="B255" s="6">
        <v>0</v>
      </c>
      <c r="C255" s="21" t="s">
        <v>24</v>
      </c>
    </row>
    <row r="256" spans="1:3" x14ac:dyDescent="0.2">
      <c r="A256" s="2">
        <v>255</v>
      </c>
      <c r="B256" s="6">
        <v>0</v>
      </c>
      <c r="C256" s="21" t="s">
        <v>24</v>
      </c>
    </row>
    <row r="257" spans="1:3" x14ac:dyDescent="0.2">
      <c r="A257" s="2">
        <v>256</v>
      </c>
      <c r="B257" s="6">
        <v>0</v>
      </c>
      <c r="C257" s="21" t="s">
        <v>25</v>
      </c>
    </row>
    <row r="258" spans="1:3" x14ac:dyDescent="0.2">
      <c r="A258" s="2">
        <v>257</v>
      </c>
      <c r="B258" s="6">
        <v>1</v>
      </c>
      <c r="C258" s="21" t="s">
        <v>24</v>
      </c>
    </row>
    <row r="259" spans="1:3" x14ac:dyDescent="0.2">
      <c r="A259" s="2">
        <v>258</v>
      </c>
      <c r="B259" s="6">
        <v>0</v>
      </c>
      <c r="C259" s="21" t="s">
        <v>25</v>
      </c>
    </row>
    <row r="260" spans="1:3" x14ac:dyDescent="0.2">
      <c r="A260" s="2">
        <v>259</v>
      </c>
      <c r="B260" s="6">
        <v>0</v>
      </c>
      <c r="C260" s="21" t="s">
        <v>26</v>
      </c>
    </row>
    <row r="261" spans="1:3" x14ac:dyDescent="0.2">
      <c r="A261" s="2">
        <v>260</v>
      </c>
      <c r="B261" s="6">
        <v>0</v>
      </c>
      <c r="C261" s="21" t="s">
        <v>26</v>
      </c>
    </row>
    <row r="262" spans="1:3" x14ac:dyDescent="0.2">
      <c r="A262" s="2">
        <v>261</v>
      </c>
      <c r="B262" s="6">
        <v>0</v>
      </c>
      <c r="C262" s="21" t="s">
        <v>25</v>
      </c>
    </row>
    <row r="263" spans="1:3" x14ac:dyDescent="0.2">
      <c r="A263" s="2">
        <v>262</v>
      </c>
      <c r="B263" s="6">
        <v>0</v>
      </c>
      <c r="C263" s="21" t="s">
        <v>25</v>
      </c>
    </row>
    <row r="264" spans="1:3" x14ac:dyDescent="0.2">
      <c r="A264" s="2">
        <v>263</v>
      </c>
      <c r="B264" s="6">
        <v>1</v>
      </c>
      <c r="C264" s="21" t="s">
        <v>24</v>
      </c>
    </row>
    <row r="265" spans="1:3" x14ac:dyDescent="0.2">
      <c r="A265" s="2">
        <v>264</v>
      </c>
      <c r="B265" s="6">
        <v>0</v>
      </c>
      <c r="C265" s="21" t="s">
        <v>24</v>
      </c>
    </row>
    <row r="266" spans="1:3" x14ac:dyDescent="0.2">
      <c r="A266" s="2">
        <v>265</v>
      </c>
      <c r="B266" s="6">
        <v>1</v>
      </c>
      <c r="C266" s="21" t="s">
        <v>26</v>
      </c>
    </row>
    <row r="267" spans="1:3" x14ac:dyDescent="0.2">
      <c r="A267" s="2">
        <v>266</v>
      </c>
      <c r="B267" s="6">
        <v>0</v>
      </c>
      <c r="C267" s="21" t="s">
        <v>24</v>
      </c>
    </row>
    <row r="268" spans="1:3" x14ac:dyDescent="0.2">
      <c r="A268" s="2">
        <v>267</v>
      </c>
      <c r="B268" s="6">
        <v>1</v>
      </c>
      <c r="C268" s="21" t="s">
        <v>25</v>
      </c>
    </row>
    <row r="269" spans="1:3" x14ac:dyDescent="0.2">
      <c r="A269" s="2">
        <v>268</v>
      </c>
      <c r="B269" s="6">
        <v>0</v>
      </c>
      <c r="C269" s="21" t="s">
        <v>25</v>
      </c>
    </row>
    <row r="270" spans="1:3" x14ac:dyDescent="0.2">
      <c r="A270" s="2">
        <v>269</v>
      </c>
      <c r="B270" s="6">
        <v>0</v>
      </c>
      <c r="C270" s="21" t="s">
        <v>25</v>
      </c>
    </row>
    <row r="271" spans="1:3" x14ac:dyDescent="0.2">
      <c r="A271" s="2">
        <v>270</v>
      </c>
      <c r="B271" s="6">
        <v>0</v>
      </c>
      <c r="C271" s="21" t="s">
        <v>25</v>
      </c>
    </row>
    <row r="272" spans="1:3" x14ac:dyDescent="0.2">
      <c r="A272" s="2">
        <v>271</v>
      </c>
      <c r="B272" s="6">
        <v>1</v>
      </c>
      <c r="C272" s="21" t="s">
        <v>25</v>
      </c>
    </row>
    <row r="273" spans="1:3" x14ac:dyDescent="0.2">
      <c r="A273" s="2">
        <v>272</v>
      </c>
      <c r="B273" s="6">
        <v>0</v>
      </c>
      <c r="C273" s="21" t="s">
        <v>25</v>
      </c>
    </row>
    <row r="274" spans="1:3" x14ac:dyDescent="0.2">
      <c r="A274" s="2">
        <v>273</v>
      </c>
      <c r="B274" s="6">
        <v>0</v>
      </c>
      <c r="C274" s="21" t="s">
        <v>27</v>
      </c>
    </row>
    <row r="275" spans="1:3" x14ac:dyDescent="0.2">
      <c r="A275" s="2">
        <v>274</v>
      </c>
      <c r="B275" s="6">
        <v>1</v>
      </c>
      <c r="C275" s="21" t="s">
        <v>25</v>
      </c>
    </row>
    <row r="276" spans="1:3" x14ac:dyDescent="0.2">
      <c r="A276" s="2">
        <v>275</v>
      </c>
      <c r="B276" s="6">
        <v>1</v>
      </c>
      <c r="C276" s="21" t="s">
        <v>24</v>
      </c>
    </row>
    <row r="277" spans="1:3" x14ac:dyDescent="0.2">
      <c r="A277" s="2">
        <v>276</v>
      </c>
      <c r="B277" s="6">
        <v>0</v>
      </c>
      <c r="C277" s="21" t="s">
        <v>27</v>
      </c>
    </row>
    <row r="278" spans="1:3" x14ac:dyDescent="0.2">
      <c r="A278" s="2">
        <v>277</v>
      </c>
      <c r="B278" s="6">
        <v>0</v>
      </c>
      <c r="C278" s="21" t="s">
        <v>27</v>
      </c>
    </row>
    <row r="279" spans="1:3" x14ac:dyDescent="0.2">
      <c r="A279" s="2">
        <v>278</v>
      </c>
      <c r="B279" s="6">
        <v>0</v>
      </c>
      <c r="C279" s="21" t="s">
        <v>25</v>
      </c>
    </row>
    <row r="280" spans="1:3" x14ac:dyDescent="0.2">
      <c r="A280" s="2">
        <v>279</v>
      </c>
      <c r="B280" s="6">
        <v>0</v>
      </c>
      <c r="C280" s="21" t="s">
        <v>24</v>
      </c>
    </row>
    <row r="281" spans="1:3" x14ac:dyDescent="0.2">
      <c r="A281" s="2">
        <v>280</v>
      </c>
      <c r="B281" s="6">
        <v>0</v>
      </c>
      <c r="C281" s="21" t="s">
        <v>25</v>
      </c>
    </row>
    <row r="282" spans="1:3" x14ac:dyDescent="0.2">
      <c r="A282" s="2">
        <v>281</v>
      </c>
      <c r="B282" s="6">
        <v>1</v>
      </c>
      <c r="C282" s="21" t="s">
        <v>25</v>
      </c>
    </row>
    <row r="283" spans="1:3" x14ac:dyDescent="0.2">
      <c r="A283" s="2">
        <v>282</v>
      </c>
      <c r="B283" s="6">
        <v>1</v>
      </c>
      <c r="C283" s="21" t="s">
        <v>26</v>
      </c>
    </row>
    <row r="284" spans="1:3" x14ac:dyDescent="0.2">
      <c r="A284" s="2">
        <v>283</v>
      </c>
      <c r="B284" s="6">
        <v>0</v>
      </c>
      <c r="C284" s="21" t="s">
        <v>25</v>
      </c>
    </row>
    <row r="285" spans="1:3" x14ac:dyDescent="0.2">
      <c r="A285" s="2">
        <v>284</v>
      </c>
      <c r="B285" s="6">
        <v>0</v>
      </c>
      <c r="C285" s="21" t="s">
        <v>25</v>
      </c>
    </row>
    <row r="286" spans="1:3" x14ac:dyDescent="0.2">
      <c r="A286" s="2">
        <v>285</v>
      </c>
      <c r="B286" s="6">
        <v>0</v>
      </c>
      <c r="C286" s="21" t="s">
        <v>27</v>
      </c>
    </row>
    <row r="287" spans="1:3" x14ac:dyDescent="0.2">
      <c r="A287" s="2">
        <v>286</v>
      </c>
      <c r="B287" s="6">
        <v>1</v>
      </c>
      <c r="C287" s="21" t="s">
        <v>27</v>
      </c>
    </row>
    <row r="288" spans="1:3" x14ac:dyDescent="0.2">
      <c r="A288" s="2">
        <v>287</v>
      </c>
      <c r="B288" s="6">
        <v>1</v>
      </c>
      <c r="C288" s="21" t="s">
        <v>26</v>
      </c>
    </row>
    <row r="289" spans="1:3" x14ac:dyDescent="0.2">
      <c r="A289" s="2">
        <v>288</v>
      </c>
      <c r="B289" s="6">
        <v>0</v>
      </c>
      <c r="C289" s="21" t="s">
        <v>25</v>
      </c>
    </row>
    <row r="290" spans="1:3" x14ac:dyDescent="0.2">
      <c r="A290" s="2">
        <v>289</v>
      </c>
      <c r="B290" s="6">
        <v>1</v>
      </c>
      <c r="C290" s="21" t="s">
        <v>26</v>
      </c>
    </row>
    <row r="291" spans="1:3" x14ac:dyDescent="0.2">
      <c r="A291" s="2">
        <v>290</v>
      </c>
      <c r="B291" s="6">
        <v>0</v>
      </c>
      <c r="C291" s="21" t="s">
        <v>24</v>
      </c>
    </row>
    <row r="292" spans="1:3" x14ac:dyDescent="0.2">
      <c r="A292" s="2">
        <v>291</v>
      </c>
      <c r="B292" s="6">
        <v>0</v>
      </c>
      <c r="C292" s="21" t="s">
        <v>24</v>
      </c>
    </row>
    <row r="293" spans="1:3" x14ac:dyDescent="0.2">
      <c r="A293" s="2">
        <v>292</v>
      </c>
      <c r="B293" s="6">
        <v>0</v>
      </c>
      <c r="C293" s="21" t="s">
        <v>24</v>
      </c>
    </row>
    <row r="294" spans="1:3" x14ac:dyDescent="0.2">
      <c r="A294" s="2">
        <v>293</v>
      </c>
      <c r="B294" s="6">
        <v>0</v>
      </c>
      <c r="C294" s="21" t="s">
        <v>27</v>
      </c>
    </row>
    <row r="295" spans="1:3" x14ac:dyDescent="0.2">
      <c r="A295" s="2">
        <v>294</v>
      </c>
      <c r="B295" s="6">
        <v>0</v>
      </c>
      <c r="C295" s="21" t="s">
        <v>26</v>
      </c>
    </row>
    <row r="296" spans="1:3" x14ac:dyDescent="0.2">
      <c r="A296" s="2">
        <v>295</v>
      </c>
      <c r="B296" s="6">
        <v>0</v>
      </c>
      <c r="C296" s="21" t="s">
        <v>25</v>
      </c>
    </row>
    <row r="297" spans="1:3" x14ac:dyDescent="0.2">
      <c r="A297" s="2">
        <v>296</v>
      </c>
      <c r="B297" s="6">
        <v>0</v>
      </c>
      <c r="C297" s="21" t="s">
        <v>27</v>
      </c>
    </row>
    <row r="298" spans="1:3" x14ac:dyDescent="0.2">
      <c r="A298" s="2">
        <v>297</v>
      </c>
      <c r="B298" s="6">
        <v>1</v>
      </c>
      <c r="C298" s="21" t="s">
        <v>25</v>
      </c>
    </row>
    <row r="299" spans="1:3" x14ac:dyDescent="0.2">
      <c r="A299" s="2">
        <v>298</v>
      </c>
      <c r="B299" s="6">
        <v>0</v>
      </c>
      <c r="C299" s="21" t="s">
        <v>25</v>
      </c>
    </row>
    <row r="300" spans="1:3" x14ac:dyDescent="0.2">
      <c r="A300" s="2">
        <v>299</v>
      </c>
      <c r="B300" s="6">
        <v>0</v>
      </c>
      <c r="C300" s="21" t="s">
        <v>26</v>
      </c>
    </row>
    <row r="301" spans="1:3" x14ac:dyDescent="0.2">
      <c r="A301" s="2">
        <v>300</v>
      </c>
      <c r="B301" s="6">
        <v>0</v>
      </c>
      <c r="C301" s="21" t="s">
        <v>24</v>
      </c>
    </row>
    <row r="302" spans="1:3" x14ac:dyDescent="0.2">
      <c r="A302" s="2">
        <v>301</v>
      </c>
      <c r="B302" s="6">
        <v>0</v>
      </c>
      <c r="C302" s="21" t="s">
        <v>27</v>
      </c>
    </row>
    <row r="303" spans="1:3" x14ac:dyDescent="0.2">
      <c r="A303" s="2">
        <v>302</v>
      </c>
      <c r="B303" s="6">
        <v>0</v>
      </c>
      <c r="C303" s="21" t="s">
        <v>24</v>
      </c>
    </row>
    <row r="304" spans="1:3" x14ac:dyDescent="0.2">
      <c r="A304" s="2">
        <v>303</v>
      </c>
      <c r="B304" s="6">
        <v>0</v>
      </c>
      <c r="C304" s="21" t="s">
        <v>25</v>
      </c>
    </row>
    <row r="305" spans="1:3" x14ac:dyDescent="0.2">
      <c r="A305" s="2">
        <v>304</v>
      </c>
      <c r="B305" s="6">
        <v>0</v>
      </c>
      <c r="C305" s="21" t="s">
        <v>27</v>
      </c>
    </row>
    <row r="306" spans="1:3" x14ac:dyDescent="0.2">
      <c r="A306" s="2">
        <v>305</v>
      </c>
      <c r="B306" s="6">
        <v>0</v>
      </c>
      <c r="C306" s="21" t="s">
        <v>25</v>
      </c>
    </row>
    <row r="307" spans="1:3" x14ac:dyDescent="0.2">
      <c r="A307" s="2">
        <v>306</v>
      </c>
      <c r="B307" s="6">
        <v>0</v>
      </c>
      <c r="C307" s="21" t="s">
        <v>27</v>
      </c>
    </row>
    <row r="308" spans="1:3" x14ac:dyDescent="0.2">
      <c r="A308" s="2">
        <v>307</v>
      </c>
      <c r="B308" s="6">
        <v>0</v>
      </c>
      <c r="C308" s="21" t="s">
        <v>25</v>
      </c>
    </row>
    <row r="309" spans="1:3" x14ac:dyDescent="0.2">
      <c r="A309" s="2">
        <v>308</v>
      </c>
      <c r="B309" s="6">
        <v>0</v>
      </c>
      <c r="C309" s="21" t="s">
        <v>25</v>
      </c>
    </row>
    <row r="310" spans="1:3" x14ac:dyDescent="0.2">
      <c r="A310" s="2">
        <v>309</v>
      </c>
      <c r="B310" s="6">
        <v>0</v>
      </c>
      <c r="C310" s="21" t="s">
        <v>26</v>
      </c>
    </row>
    <row r="311" spans="1:3" x14ac:dyDescent="0.2">
      <c r="A311" s="2">
        <v>310</v>
      </c>
      <c r="B311" s="6">
        <v>0</v>
      </c>
      <c r="C311" s="21" t="s">
        <v>24</v>
      </c>
    </row>
    <row r="312" spans="1:3" x14ac:dyDescent="0.2">
      <c r="A312" s="2">
        <v>311</v>
      </c>
      <c r="B312" s="6">
        <v>1</v>
      </c>
      <c r="C312" s="21" t="s">
        <v>26</v>
      </c>
    </row>
    <row r="313" spans="1:3" x14ac:dyDescent="0.2">
      <c r="A313" s="2">
        <v>312</v>
      </c>
      <c r="B313" s="6">
        <v>0</v>
      </c>
      <c r="C313" s="21" t="s">
        <v>27</v>
      </c>
    </row>
    <row r="314" spans="1:3" x14ac:dyDescent="0.2">
      <c r="A314" s="2">
        <v>313</v>
      </c>
      <c r="B314" s="6">
        <v>0</v>
      </c>
      <c r="C314" s="21" t="s">
        <v>25</v>
      </c>
    </row>
    <row r="315" spans="1:3" x14ac:dyDescent="0.2">
      <c r="A315" s="2">
        <v>314</v>
      </c>
      <c r="B315" s="6">
        <v>1</v>
      </c>
      <c r="C315" s="21" t="s">
        <v>24</v>
      </c>
    </row>
    <row r="316" spans="1:3" x14ac:dyDescent="0.2">
      <c r="A316" s="2">
        <v>315</v>
      </c>
      <c r="B316" s="6">
        <v>0</v>
      </c>
      <c r="C316" s="21" t="s">
        <v>27</v>
      </c>
    </row>
    <row r="317" spans="1:3" x14ac:dyDescent="0.2">
      <c r="A317" s="2">
        <v>316</v>
      </c>
      <c r="B317" s="6">
        <v>0</v>
      </c>
      <c r="C317" s="21" t="s">
        <v>26</v>
      </c>
    </row>
    <row r="318" spans="1:3" x14ac:dyDescent="0.2">
      <c r="A318" s="2">
        <v>317</v>
      </c>
      <c r="B318" s="6">
        <v>1</v>
      </c>
      <c r="C318" s="21" t="s">
        <v>27</v>
      </c>
    </row>
    <row r="319" spans="1:3" x14ac:dyDescent="0.2">
      <c r="A319" s="2">
        <v>318</v>
      </c>
      <c r="B319" s="6">
        <v>1</v>
      </c>
      <c r="C319" s="21" t="s">
        <v>25</v>
      </c>
    </row>
    <row r="320" spans="1:3" x14ac:dyDescent="0.2">
      <c r="A320" s="2">
        <v>319</v>
      </c>
      <c r="B320" s="6">
        <v>1</v>
      </c>
      <c r="C320" s="21" t="s">
        <v>26</v>
      </c>
    </row>
    <row r="321" spans="1:3" x14ac:dyDescent="0.2">
      <c r="A321" s="2">
        <v>320</v>
      </c>
      <c r="B321" s="6">
        <v>0</v>
      </c>
      <c r="C321" s="21" t="s">
        <v>24</v>
      </c>
    </row>
    <row r="322" spans="1:3" x14ac:dyDescent="0.2">
      <c r="A322" s="2">
        <v>321</v>
      </c>
      <c r="B322" s="6">
        <v>0</v>
      </c>
      <c r="C322" s="21" t="s">
        <v>27</v>
      </c>
    </row>
    <row r="323" spans="1:3" x14ac:dyDescent="0.2">
      <c r="A323" s="2">
        <v>322</v>
      </c>
      <c r="B323" s="6">
        <v>0</v>
      </c>
      <c r="C323" s="21" t="s">
        <v>25</v>
      </c>
    </row>
    <row r="324" spans="1:3" x14ac:dyDescent="0.2">
      <c r="A324" s="2">
        <v>323</v>
      </c>
      <c r="B324" s="6">
        <v>0</v>
      </c>
      <c r="C324" s="21" t="s">
        <v>25</v>
      </c>
    </row>
    <row r="325" spans="1:3" x14ac:dyDescent="0.2">
      <c r="A325" s="2">
        <v>324</v>
      </c>
      <c r="B325" s="6">
        <v>0</v>
      </c>
      <c r="C325" s="21" t="s">
        <v>27</v>
      </c>
    </row>
    <row r="326" spans="1:3" x14ac:dyDescent="0.2">
      <c r="A326" s="2">
        <v>325</v>
      </c>
      <c r="B326" s="6">
        <v>0</v>
      </c>
      <c r="C326" s="21" t="s">
        <v>26</v>
      </c>
    </row>
    <row r="327" spans="1:3" x14ac:dyDescent="0.2">
      <c r="A327" s="2">
        <v>326</v>
      </c>
      <c r="B327" s="6">
        <v>1</v>
      </c>
      <c r="C327" s="21" t="s">
        <v>24</v>
      </c>
    </row>
    <row r="328" spans="1:3" x14ac:dyDescent="0.2">
      <c r="A328" s="2">
        <v>327</v>
      </c>
      <c r="B328" s="6">
        <v>0</v>
      </c>
      <c r="C328" s="21" t="s">
        <v>27</v>
      </c>
    </row>
    <row r="329" spans="1:3" x14ac:dyDescent="0.2">
      <c r="A329" s="2">
        <v>328</v>
      </c>
      <c r="B329" s="6">
        <v>0</v>
      </c>
      <c r="C329" s="21" t="s">
        <v>26</v>
      </c>
    </row>
    <row r="330" spans="1:3" x14ac:dyDescent="0.2">
      <c r="A330" s="2">
        <v>329</v>
      </c>
      <c r="B330" s="6">
        <v>0</v>
      </c>
      <c r="C330" s="21" t="s">
        <v>25</v>
      </c>
    </row>
    <row r="331" spans="1:3" x14ac:dyDescent="0.2">
      <c r="A331" s="2">
        <v>330</v>
      </c>
      <c r="B331" s="6">
        <v>0</v>
      </c>
      <c r="C331" s="21" t="s">
        <v>25</v>
      </c>
    </row>
    <row r="332" spans="1:3" x14ac:dyDescent="0.2">
      <c r="A332" s="2">
        <v>331</v>
      </c>
      <c r="B332" s="6">
        <v>0</v>
      </c>
      <c r="C332" s="21" t="s">
        <v>24</v>
      </c>
    </row>
    <row r="333" spans="1:3" x14ac:dyDescent="0.2">
      <c r="A333" s="2">
        <v>332</v>
      </c>
      <c r="B333" s="6">
        <v>0</v>
      </c>
      <c r="C333" s="21" t="s">
        <v>26</v>
      </c>
    </row>
    <row r="334" spans="1:3" x14ac:dyDescent="0.2">
      <c r="A334" s="2">
        <v>333</v>
      </c>
      <c r="B334" s="6">
        <v>0</v>
      </c>
      <c r="C334" s="21" t="s">
        <v>26</v>
      </c>
    </row>
    <row r="335" spans="1:3" x14ac:dyDescent="0.2">
      <c r="A335" s="2">
        <v>334</v>
      </c>
      <c r="B335" s="6">
        <v>0</v>
      </c>
      <c r="C335" s="21" t="s">
        <v>27</v>
      </c>
    </row>
    <row r="336" spans="1:3" x14ac:dyDescent="0.2">
      <c r="A336" s="2">
        <v>335</v>
      </c>
      <c r="B336" s="6">
        <v>1</v>
      </c>
      <c r="C336" s="21" t="s">
        <v>26</v>
      </c>
    </row>
    <row r="337" spans="1:3" x14ac:dyDescent="0.2">
      <c r="A337" s="2">
        <v>336</v>
      </c>
      <c r="B337" s="6">
        <v>1</v>
      </c>
      <c r="C337" s="21" t="s">
        <v>26</v>
      </c>
    </row>
    <row r="338" spans="1:3" x14ac:dyDescent="0.2">
      <c r="A338" s="2">
        <v>337</v>
      </c>
      <c r="B338" s="6">
        <v>0</v>
      </c>
      <c r="C338" s="21" t="s">
        <v>24</v>
      </c>
    </row>
    <row r="339" spans="1:3" x14ac:dyDescent="0.2">
      <c r="A339" s="2">
        <v>338</v>
      </c>
      <c r="B339" s="6">
        <v>0</v>
      </c>
      <c r="C339" s="21" t="s">
        <v>27</v>
      </c>
    </row>
    <row r="340" spans="1:3" x14ac:dyDescent="0.2">
      <c r="A340" s="2">
        <v>339</v>
      </c>
      <c r="B340" s="6">
        <v>1</v>
      </c>
      <c r="C340" s="21" t="s">
        <v>25</v>
      </c>
    </row>
    <row r="341" spans="1:3" x14ac:dyDescent="0.2">
      <c r="A341" s="2">
        <v>340</v>
      </c>
      <c r="B341" s="6">
        <v>1</v>
      </c>
      <c r="C341" s="21" t="s">
        <v>24</v>
      </c>
    </row>
    <row r="342" spans="1:3" x14ac:dyDescent="0.2">
      <c r="A342" s="2">
        <v>341</v>
      </c>
      <c r="B342" s="6">
        <v>0</v>
      </c>
      <c r="C342" s="21" t="s">
        <v>24</v>
      </c>
    </row>
    <row r="343" spans="1:3" x14ac:dyDescent="0.2">
      <c r="A343" s="2">
        <v>342</v>
      </c>
      <c r="B343" s="6">
        <v>0</v>
      </c>
      <c r="C343" s="21" t="s">
        <v>24</v>
      </c>
    </row>
    <row r="344" spans="1:3" x14ac:dyDescent="0.2">
      <c r="A344" s="2">
        <v>343</v>
      </c>
      <c r="B344" s="6">
        <v>0</v>
      </c>
      <c r="C344" s="21" t="s">
        <v>24</v>
      </c>
    </row>
    <row r="345" spans="1:3" x14ac:dyDescent="0.2">
      <c r="A345" s="2">
        <v>344</v>
      </c>
      <c r="B345" s="6">
        <v>1</v>
      </c>
      <c r="C345" s="21" t="s">
        <v>26</v>
      </c>
    </row>
    <row r="346" spans="1:3" x14ac:dyDescent="0.2">
      <c r="A346" s="2">
        <v>345</v>
      </c>
      <c r="B346" s="6">
        <v>1</v>
      </c>
      <c r="C346" s="21" t="s">
        <v>24</v>
      </c>
    </row>
    <row r="347" spans="1:3" x14ac:dyDescent="0.2">
      <c r="A347" s="2">
        <v>346</v>
      </c>
      <c r="B347" s="6">
        <v>0</v>
      </c>
      <c r="C347" s="21" t="s">
        <v>27</v>
      </c>
    </row>
    <row r="348" spans="1:3" x14ac:dyDescent="0.2">
      <c r="A348" s="2">
        <v>347</v>
      </c>
      <c r="B348" s="6">
        <v>1</v>
      </c>
      <c r="C348" s="21" t="s">
        <v>27</v>
      </c>
    </row>
    <row r="349" spans="1:3" x14ac:dyDescent="0.2">
      <c r="A349" s="2">
        <v>348</v>
      </c>
      <c r="B349" s="6">
        <v>0</v>
      </c>
      <c r="C349" s="21" t="s">
        <v>26</v>
      </c>
    </row>
    <row r="350" spans="1:3" x14ac:dyDescent="0.2">
      <c r="A350" s="2">
        <v>349</v>
      </c>
      <c r="B350" s="6">
        <v>1</v>
      </c>
      <c r="C350" s="21" t="s">
        <v>25</v>
      </c>
    </row>
    <row r="351" spans="1:3" x14ac:dyDescent="0.2">
      <c r="A351" s="2">
        <v>350</v>
      </c>
      <c r="B351" s="6">
        <v>0</v>
      </c>
      <c r="C351" s="21" t="s">
        <v>26</v>
      </c>
    </row>
    <row r="352" spans="1:3" x14ac:dyDescent="0.2">
      <c r="A352" s="2">
        <v>351</v>
      </c>
      <c r="B352" s="6">
        <v>1</v>
      </c>
      <c r="C352" s="21" t="s">
        <v>25</v>
      </c>
    </row>
    <row r="353" spans="1:3" x14ac:dyDescent="0.2">
      <c r="A353" s="2">
        <v>352</v>
      </c>
      <c r="B353" s="6">
        <v>0</v>
      </c>
      <c r="C353" s="21" t="s">
        <v>26</v>
      </c>
    </row>
    <row r="354" spans="1:3" x14ac:dyDescent="0.2">
      <c r="A354" s="2">
        <v>353</v>
      </c>
      <c r="B354" s="6">
        <v>0</v>
      </c>
      <c r="C354" s="21" t="s">
        <v>24</v>
      </c>
    </row>
    <row r="355" spans="1:3" x14ac:dyDescent="0.2">
      <c r="A355" s="2">
        <v>354</v>
      </c>
      <c r="B355" s="6">
        <v>0</v>
      </c>
      <c r="C355" s="21" t="s">
        <v>24</v>
      </c>
    </row>
    <row r="356" spans="1:3" x14ac:dyDescent="0.2">
      <c r="A356" s="2">
        <v>355</v>
      </c>
      <c r="B356" s="6">
        <v>1</v>
      </c>
      <c r="C356" s="21" t="s">
        <v>24</v>
      </c>
    </row>
    <row r="357" spans="1:3" x14ac:dyDescent="0.2">
      <c r="A357" s="2">
        <v>356</v>
      </c>
      <c r="B357" s="6">
        <v>1</v>
      </c>
      <c r="C357" s="21" t="s">
        <v>24</v>
      </c>
    </row>
    <row r="358" spans="1:3" x14ac:dyDescent="0.2">
      <c r="A358" s="2">
        <v>357</v>
      </c>
      <c r="B358" s="6">
        <v>1</v>
      </c>
      <c r="C358" s="21" t="s">
        <v>27</v>
      </c>
    </row>
    <row r="359" spans="1:3" x14ac:dyDescent="0.2">
      <c r="A359" s="2">
        <v>358</v>
      </c>
      <c r="B359" s="6">
        <v>1</v>
      </c>
      <c r="C359" s="21" t="s">
        <v>25</v>
      </c>
    </row>
    <row r="360" spans="1:3" x14ac:dyDescent="0.2">
      <c r="A360" s="2">
        <v>359</v>
      </c>
      <c r="B360" s="6">
        <v>0</v>
      </c>
      <c r="C360" s="21" t="s">
        <v>26</v>
      </c>
    </row>
    <row r="361" spans="1:3" x14ac:dyDescent="0.2">
      <c r="A361" s="2">
        <v>360</v>
      </c>
      <c r="B361" s="6">
        <v>0</v>
      </c>
      <c r="C361" s="21" t="s">
        <v>26</v>
      </c>
    </row>
    <row r="362" spans="1:3" x14ac:dyDescent="0.2">
      <c r="A362" s="2">
        <v>361</v>
      </c>
      <c r="B362" s="6">
        <v>0</v>
      </c>
      <c r="C362" s="21" t="s">
        <v>25</v>
      </c>
    </row>
    <row r="363" spans="1:3" x14ac:dyDescent="0.2">
      <c r="A363" s="2">
        <v>362</v>
      </c>
      <c r="B363" s="6">
        <v>0</v>
      </c>
      <c r="C363" s="21" t="s">
        <v>25</v>
      </c>
    </row>
    <row r="364" spans="1:3" x14ac:dyDescent="0.2">
      <c r="A364" s="2">
        <v>363</v>
      </c>
      <c r="B364" s="6">
        <v>0</v>
      </c>
      <c r="C364" s="21" t="s">
        <v>25</v>
      </c>
    </row>
    <row r="365" spans="1:3" x14ac:dyDescent="0.2">
      <c r="A365" s="2">
        <v>364</v>
      </c>
      <c r="B365" s="6">
        <v>0</v>
      </c>
      <c r="C365" s="21" t="s">
        <v>25</v>
      </c>
    </row>
    <row r="366" spans="1:3" x14ac:dyDescent="0.2">
      <c r="A366" s="2">
        <v>365</v>
      </c>
      <c r="B366" s="6">
        <v>0</v>
      </c>
      <c r="C366" s="21" t="s">
        <v>25</v>
      </c>
    </row>
    <row r="367" spans="1:3" x14ac:dyDescent="0.2">
      <c r="A367" s="2">
        <v>366</v>
      </c>
      <c r="B367" s="6">
        <v>0</v>
      </c>
      <c r="C367" s="21" t="s">
        <v>27</v>
      </c>
    </row>
    <row r="368" spans="1:3" x14ac:dyDescent="0.2">
      <c r="A368" s="2">
        <v>367</v>
      </c>
      <c r="B368" s="6">
        <v>0</v>
      </c>
      <c r="C368" s="21" t="s">
        <v>27</v>
      </c>
    </row>
    <row r="369" spans="1:3" x14ac:dyDescent="0.2">
      <c r="A369" s="2">
        <v>368</v>
      </c>
      <c r="B369" s="6">
        <v>0</v>
      </c>
      <c r="C369" s="21" t="s">
        <v>25</v>
      </c>
    </row>
    <row r="370" spans="1:3" x14ac:dyDescent="0.2">
      <c r="A370" s="2">
        <v>369</v>
      </c>
      <c r="B370" s="6">
        <v>1</v>
      </c>
      <c r="C370" s="21" t="s">
        <v>25</v>
      </c>
    </row>
    <row r="371" spans="1:3" x14ac:dyDescent="0.2">
      <c r="A371" s="2">
        <v>370</v>
      </c>
      <c r="B371" s="6">
        <v>1</v>
      </c>
      <c r="C371" s="21" t="s">
        <v>27</v>
      </c>
    </row>
    <row r="372" spans="1:3" x14ac:dyDescent="0.2">
      <c r="A372" s="2">
        <v>371</v>
      </c>
      <c r="B372" s="6">
        <v>1</v>
      </c>
      <c r="C372" s="21" t="s">
        <v>27</v>
      </c>
    </row>
    <row r="373" spans="1:3" x14ac:dyDescent="0.2">
      <c r="A373" s="2">
        <v>372</v>
      </c>
      <c r="B373" s="6">
        <v>0</v>
      </c>
      <c r="C373" s="21" t="s">
        <v>24</v>
      </c>
    </row>
    <row r="374" spans="1:3" x14ac:dyDescent="0.2">
      <c r="A374" s="2">
        <v>373</v>
      </c>
      <c r="B374" s="6">
        <v>0</v>
      </c>
      <c r="C374" s="21" t="s">
        <v>24</v>
      </c>
    </row>
    <row r="375" spans="1:3" x14ac:dyDescent="0.2">
      <c r="A375" s="2">
        <v>374</v>
      </c>
      <c r="B375" s="6">
        <v>1</v>
      </c>
      <c r="C375" s="21" t="s">
        <v>25</v>
      </c>
    </row>
    <row r="376" spans="1:3" x14ac:dyDescent="0.2">
      <c r="A376" s="2">
        <v>375</v>
      </c>
      <c r="B376" s="6">
        <v>0</v>
      </c>
      <c r="C376" s="21" t="s">
        <v>25</v>
      </c>
    </row>
    <row r="377" spans="1:3" x14ac:dyDescent="0.2">
      <c r="A377" s="2">
        <v>376</v>
      </c>
      <c r="B377" s="6">
        <v>0</v>
      </c>
      <c r="C377" s="21" t="s">
        <v>27</v>
      </c>
    </row>
    <row r="378" spans="1:3" x14ac:dyDescent="0.2">
      <c r="A378" s="2">
        <v>377</v>
      </c>
      <c r="B378" s="6">
        <v>0</v>
      </c>
      <c r="C378" s="21" t="s">
        <v>24</v>
      </c>
    </row>
    <row r="379" spans="1:3" x14ac:dyDescent="0.2">
      <c r="A379" s="2">
        <v>378</v>
      </c>
      <c r="B379" s="6">
        <v>0</v>
      </c>
      <c r="C379" s="21" t="s">
        <v>24</v>
      </c>
    </row>
    <row r="380" spans="1:3" x14ac:dyDescent="0.2">
      <c r="A380" s="2">
        <v>379</v>
      </c>
      <c r="B380" s="6">
        <v>0</v>
      </c>
      <c r="C380" s="21" t="s">
        <v>26</v>
      </c>
    </row>
    <row r="381" spans="1:3" x14ac:dyDescent="0.2">
      <c r="A381" s="2">
        <v>380</v>
      </c>
      <c r="B381" s="6">
        <v>0</v>
      </c>
      <c r="C381" s="21" t="s">
        <v>25</v>
      </c>
    </row>
    <row r="382" spans="1:3" x14ac:dyDescent="0.2">
      <c r="A382" s="2">
        <v>381</v>
      </c>
      <c r="B382" s="6">
        <v>0</v>
      </c>
      <c r="C382" s="21" t="s">
        <v>26</v>
      </c>
    </row>
    <row r="383" spans="1:3" x14ac:dyDescent="0.2">
      <c r="A383" s="2">
        <v>382</v>
      </c>
      <c r="B383" s="6">
        <v>0</v>
      </c>
      <c r="C383" s="21" t="s">
        <v>27</v>
      </c>
    </row>
    <row r="384" spans="1:3" x14ac:dyDescent="0.2">
      <c r="A384" s="2">
        <v>383</v>
      </c>
      <c r="B384" s="6">
        <v>0</v>
      </c>
      <c r="C384" s="21" t="s">
        <v>26</v>
      </c>
    </row>
    <row r="385" spans="1:3" x14ac:dyDescent="0.2">
      <c r="A385" s="2">
        <v>384</v>
      </c>
      <c r="B385" s="6">
        <v>1</v>
      </c>
      <c r="C385" s="21" t="s">
        <v>26</v>
      </c>
    </row>
    <row r="386" spans="1:3" x14ac:dyDescent="0.2">
      <c r="A386" s="2">
        <v>385</v>
      </c>
      <c r="B386" s="6">
        <v>0</v>
      </c>
      <c r="C386" s="21" t="s">
        <v>25</v>
      </c>
    </row>
    <row r="387" spans="1:3" x14ac:dyDescent="0.2">
      <c r="A387" s="2">
        <v>386</v>
      </c>
      <c r="B387" s="6">
        <v>0</v>
      </c>
      <c r="C387" s="21" t="s">
        <v>25</v>
      </c>
    </row>
    <row r="388" spans="1:3" x14ac:dyDescent="0.2">
      <c r="A388" s="2">
        <v>387</v>
      </c>
      <c r="B388" s="6">
        <v>1</v>
      </c>
      <c r="C388" s="21" t="s">
        <v>24</v>
      </c>
    </row>
    <row r="389" spans="1:3" x14ac:dyDescent="0.2">
      <c r="A389" s="2">
        <v>388</v>
      </c>
      <c r="B389" s="6">
        <v>0</v>
      </c>
      <c r="C389" s="21" t="s">
        <v>26</v>
      </c>
    </row>
    <row r="390" spans="1:3" x14ac:dyDescent="0.2">
      <c r="A390" s="2">
        <v>389</v>
      </c>
      <c r="B390" s="6">
        <v>0</v>
      </c>
      <c r="C390" s="21" t="s">
        <v>25</v>
      </c>
    </row>
    <row r="391" spans="1:3" x14ac:dyDescent="0.2">
      <c r="A391" s="2">
        <v>390</v>
      </c>
      <c r="B391" s="6">
        <v>0</v>
      </c>
      <c r="C391" s="21" t="s">
        <v>27</v>
      </c>
    </row>
    <row r="392" spans="1:3" x14ac:dyDescent="0.2">
      <c r="A392" s="2">
        <v>391</v>
      </c>
      <c r="B392" s="6">
        <v>0</v>
      </c>
      <c r="C392" s="21" t="s">
        <v>25</v>
      </c>
    </row>
    <row r="393" spans="1:3" x14ac:dyDescent="0.2">
      <c r="A393" s="2">
        <v>392</v>
      </c>
      <c r="B393" s="6">
        <v>0</v>
      </c>
      <c r="C393" s="21" t="s">
        <v>27</v>
      </c>
    </row>
    <row r="394" spans="1:3" x14ac:dyDescent="0.2">
      <c r="A394" s="2">
        <v>393</v>
      </c>
      <c r="B394" s="6">
        <v>1</v>
      </c>
      <c r="C394" s="21" t="s">
        <v>24</v>
      </c>
    </row>
    <row r="395" spans="1:3" x14ac:dyDescent="0.2">
      <c r="A395" s="2">
        <v>394</v>
      </c>
      <c r="B395" s="6">
        <v>0</v>
      </c>
      <c r="C395" s="21" t="s">
        <v>24</v>
      </c>
    </row>
    <row r="396" spans="1:3" x14ac:dyDescent="0.2">
      <c r="A396" s="2">
        <v>395</v>
      </c>
      <c r="B396" s="6">
        <v>0</v>
      </c>
      <c r="C396" s="21" t="s">
        <v>24</v>
      </c>
    </row>
    <row r="397" spans="1:3" x14ac:dyDescent="0.2">
      <c r="A397" s="2">
        <v>396</v>
      </c>
      <c r="B397" s="6">
        <v>0</v>
      </c>
      <c r="C397" s="21" t="s">
        <v>26</v>
      </c>
    </row>
    <row r="398" spans="1:3" x14ac:dyDescent="0.2">
      <c r="A398" s="2">
        <v>397</v>
      </c>
      <c r="B398" s="6">
        <v>0</v>
      </c>
      <c r="C398" s="21" t="s">
        <v>25</v>
      </c>
    </row>
    <row r="399" spans="1:3" x14ac:dyDescent="0.2">
      <c r="A399" s="2">
        <v>398</v>
      </c>
      <c r="B399" s="6">
        <v>0</v>
      </c>
      <c r="C399" s="21" t="s">
        <v>24</v>
      </c>
    </row>
    <row r="400" spans="1:3" x14ac:dyDescent="0.2">
      <c r="A400" s="2">
        <v>399</v>
      </c>
      <c r="B400" s="6">
        <v>0</v>
      </c>
      <c r="C400" s="21" t="s">
        <v>25</v>
      </c>
    </row>
    <row r="401" spans="1:3" x14ac:dyDescent="0.2">
      <c r="A401" s="2">
        <v>400</v>
      </c>
      <c r="B401" s="6">
        <v>0</v>
      </c>
      <c r="C401" s="21" t="s">
        <v>25</v>
      </c>
    </row>
    <row r="402" spans="1:3" x14ac:dyDescent="0.2">
      <c r="A402" s="2">
        <v>401</v>
      </c>
      <c r="B402" s="6">
        <v>0</v>
      </c>
      <c r="C402" s="21" t="s">
        <v>26</v>
      </c>
    </row>
    <row r="403" spans="1:3" x14ac:dyDescent="0.2">
      <c r="A403" s="2">
        <v>402</v>
      </c>
      <c r="B403" s="6">
        <v>0</v>
      </c>
      <c r="C403" s="21" t="s">
        <v>24</v>
      </c>
    </row>
    <row r="404" spans="1:3" x14ac:dyDescent="0.2">
      <c r="A404" s="2">
        <v>403</v>
      </c>
      <c r="B404" s="6">
        <v>0</v>
      </c>
      <c r="C404" s="21" t="s">
        <v>26</v>
      </c>
    </row>
    <row r="405" spans="1:3" x14ac:dyDescent="0.2">
      <c r="A405" s="2">
        <v>404</v>
      </c>
      <c r="B405" s="6">
        <v>1</v>
      </c>
      <c r="C405" s="21" t="s">
        <v>24</v>
      </c>
    </row>
    <row r="406" spans="1:3" x14ac:dyDescent="0.2">
      <c r="A406" s="2">
        <v>405</v>
      </c>
      <c r="B406" s="6">
        <v>0</v>
      </c>
      <c r="C406" s="21" t="s">
        <v>26</v>
      </c>
    </row>
    <row r="407" spans="1:3" x14ac:dyDescent="0.2">
      <c r="A407" s="2">
        <v>406</v>
      </c>
      <c r="B407" s="6">
        <v>0</v>
      </c>
      <c r="C407" s="21" t="s">
        <v>25</v>
      </c>
    </row>
    <row r="408" spans="1:3" x14ac:dyDescent="0.2">
      <c r="A408" s="2">
        <v>407</v>
      </c>
      <c r="B408" s="6">
        <v>0</v>
      </c>
      <c r="C408" s="21" t="s">
        <v>26</v>
      </c>
    </row>
    <row r="409" spans="1:3" x14ac:dyDescent="0.2">
      <c r="A409" s="2">
        <v>408</v>
      </c>
      <c r="B409" s="6">
        <v>0</v>
      </c>
      <c r="C409" s="21" t="s">
        <v>27</v>
      </c>
    </row>
    <row r="410" spans="1:3" x14ac:dyDescent="0.2">
      <c r="A410" s="2">
        <v>409</v>
      </c>
      <c r="B410" s="6">
        <v>0</v>
      </c>
      <c r="C410" s="21" t="s">
        <v>25</v>
      </c>
    </row>
    <row r="411" spans="1:3" x14ac:dyDescent="0.2">
      <c r="A411" s="2">
        <v>410</v>
      </c>
      <c r="B411" s="6">
        <v>0</v>
      </c>
      <c r="C411" s="21" t="s">
        <v>24</v>
      </c>
    </row>
    <row r="412" spans="1:3" x14ac:dyDescent="0.2">
      <c r="A412" s="2">
        <v>411</v>
      </c>
      <c r="B412" s="6">
        <v>1</v>
      </c>
      <c r="C412" s="21" t="s">
        <v>26</v>
      </c>
    </row>
    <row r="413" spans="1:3" x14ac:dyDescent="0.2">
      <c r="A413" s="2">
        <v>412</v>
      </c>
      <c r="B413" s="6">
        <v>1</v>
      </c>
      <c r="C413" s="21" t="s">
        <v>25</v>
      </c>
    </row>
    <row r="414" spans="1:3" x14ac:dyDescent="0.2">
      <c r="A414" s="2">
        <v>413</v>
      </c>
      <c r="B414" s="6">
        <v>0</v>
      </c>
      <c r="C414" s="21" t="s">
        <v>24</v>
      </c>
    </row>
    <row r="415" spans="1:3" x14ac:dyDescent="0.2">
      <c r="A415" s="2">
        <v>414</v>
      </c>
      <c r="B415" s="6">
        <v>0</v>
      </c>
      <c r="C415" s="21" t="s">
        <v>24</v>
      </c>
    </row>
    <row r="416" spans="1:3" x14ac:dyDescent="0.2">
      <c r="A416" s="2">
        <v>415</v>
      </c>
      <c r="B416" s="6">
        <v>1</v>
      </c>
      <c r="C416" s="21" t="s">
        <v>24</v>
      </c>
    </row>
    <row r="417" spans="1:3" x14ac:dyDescent="0.2">
      <c r="A417" s="2">
        <v>416</v>
      </c>
      <c r="B417" s="6">
        <v>1</v>
      </c>
      <c r="C417" s="21" t="s">
        <v>27</v>
      </c>
    </row>
    <row r="418" spans="1:3" x14ac:dyDescent="0.2">
      <c r="A418" s="2">
        <v>417</v>
      </c>
      <c r="B418" s="6">
        <v>1</v>
      </c>
      <c r="C418" s="21" t="s">
        <v>24</v>
      </c>
    </row>
    <row r="419" spans="1:3" x14ac:dyDescent="0.2">
      <c r="A419" s="2">
        <v>418</v>
      </c>
      <c r="B419" s="6">
        <v>0</v>
      </c>
      <c r="C419" s="21" t="s">
        <v>26</v>
      </c>
    </row>
    <row r="420" spans="1:3" x14ac:dyDescent="0.2">
      <c r="A420" s="2">
        <v>419</v>
      </c>
      <c r="B420" s="6">
        <v>0</v>
      </c>
      <c r="C420" s="21" t="s">
        <v>26</v>
      </c>
    </row>
    <row r="421" spans="1:3" x14ac:dyDescent="0.2">
      <c r="A421" s="2">
        <v>420</v>
      </c>
      <c r="B421" s="6">
        <v>0</v>
      </c>
      <c r="C421" s="21" t="s">
        <v>25</v>
      </c>
    </row>
    <row r="422" spans="1:3" x14ac:dyDescent="0.2">
      <c r="A422" s="2">
        <v>421</v>
      </c>
      <c r="B422" s="6">
        <v>0</v>
      </c>
      <c r="C422" s="21" t="s">
        <v>26</v>
      </c>
    </row>
    <row r="423" spans="1:3" x14ac:dyDescent="0.2">
      <c r="A423" s="2">
        <v>422</v>
      </c>
      <c r="B423" s="6">
        <v>0</v>
      </c>
      <c r="C423" s="21" t="s">
        <v>25</v>
      </c>
    </row>
    <row r="424" spans="1:3" x14ac:dyDescent="0.2">
      <c r="A424" s="2">
        <v>423</v>
      </c>
      <c r="B424" s="6">
        <v>0</v>
      </c>
      <c r="C424" s="21" t="s">
        <v>27</v>
      </c>
    </row>
    <row r="425" spans="1:3" x14ac:dyDescent="0.2">
      <c r="A425" s="2">
        <v>424</v>
      </c>
      <c r="B425" s="6">
        <v>1</v>
      </c>
      <c r="C425" s="21" t="s">
        <v>27</v>
      </c>
    </row>
    <row r="426" spans="1:3" x14ac:dyDescent="0.2">
      <c r="A426" s="2">
        <v>425</v>
      </c>
      <c r="B426" s="6">
        <v>0</v>
      </c>
      <c r="C426" s="21" t="s">
        <v>27</v>
      </c>
    </row>
    <row r="427" spans="1:3" x14ac:dyDescent="0.2">
      <c r="A427" s="2">
        <v>426</v>
      </c>
      <c r="B427" s="6">
        <v>1</v>
      </c>
      <c r="C427" s="21" t="s">
        <v>26</v>
      </c>
    </row>
    <row r="428" spans="1:3" x14ac:dyDescent="0.2">
      <c r="A428" s="2">
        <v>427</v>
      </c>
      <c r="B428" s="6">
        <v>0</v>
      </c>
      <c r="C428" s="21" t="s">
        <v>24</v>
      </c>
    </row>
    <row r="429" spans="1:3" x14ac:dyDescent="0.2">
      <c r="A429" s="2">
        <v>428</v>
      </c>
      <c r="B429" s="6">
        <v>0</v>
      </c>
      <c r="C429" s="21" t="s">
        <v>25</v>
      </c>
    </row>
    <row r="430" spans="1:3" x14ac:dyDescent="0.2">
      <c r="A430" s="2">
        <v>429</v>
      </c>
      <c r="B430" s="6">
        <v>0</v>
      </c>
      <c r="C430" s="21" t="s">
        <v>27</v>
      </c>
    </row>
    <row r="431" spans="1:3" x14ac:dyDescent="0.2">
      <c r="A431" s="2">
        <v>430</v>
      </c>
      <c r="B431" s="6">
        <v>1</v>
      </c>
      <c r="C431" s="21" t="s">
        <v>25</v>
      </c>
    </row>
    <row r="432" spans="1:3" x14ac:dyDescent="0.2">
      <c r="A432" s="2">
        <v>431</v>
      </c>
      <c r="B432" s="6">
        <v>0</v>
      </c>
      <c r="C432" s="21" t="s">
        <v>25</v>
      </c>
    </row>
    <row r="433" spans="1:3" x14ac:dyDescent="0.2">
      <c r="A433" s="2">
        <v>432</v>
      </c>
      <c r="B433" s="6">
        <v>0</v>
      </c>
      <c r="C433" s="21" t="s">
        <v>26</v>
      </c>
    </row>
    <row r="434" spans="1:3" x14ac:dyDescent="0.2">
      <c r="A434" s="2">
        <v>433</v>
      </c>
      <c r="B434" s="6">
        <v>1</v>
      </c>
      <c r="C434" s="21" t="s">
        <v>25</v>
      </c>
    </row>
    <row r="435" spans="1:3" x14ac:dyDescent="0.2">
      <c r="A435" s="2">
        <v>434</v>
      </c>
      <c r="B435" s="6">
        <v>0</v>
      </c>
      <c r="C435" s="21" t="s">
        <v>26</v>
      </c>
    </row>
    <row r="436" spans="1:3" x14ac:dyDescent="0.2">
      <c r="A436" s="2">
        <v>435</v>
      </c>
      <c r="B436" s="6">
        <v>0</v>
      </c>
      <c r="C436" s="21" t="s">
        <v>25</v>
      </c>
    </row>
    <row r="437" spans="1:3" x14ac:dyDescent="0.2">
      <c r="A437" s="2">
        <v>436</v>
      </c>
      <c r="B437" s="6">
        <v>0</v>
      </c>
      <c r="C437" s="21" t="s">
        <v>24</v>
      </c>
    </row>
    <row r="438" spans="1:3" x14ac:dyDescent="0.2">
      <c r="A438" s="2">
        <v>437</v>
      </c>
      <c r="B438" s="6">
        <v>0</v>
      </c>
      <c r="C438" s="21" t="s">
        <v>24</v>
      </c>
    </row>
    <row r="439" spans="1:3" x14ac:dyDescent="0.2">
      <c r="A439" s="2">
        <v>438</v>
      </c>
      <c r="B439" s="6">
        <v>0</v>
      </c>
      <c r="C439" s="21" t="s">
        <v>24</v>
      </c>
    </row>
    <row r="440" spans="1:3" x14ac:dyDescent="0.2">
      <c r="A440" s="2">
        <v>439</v>
      </c>
      <c r="B440" s="6">
        <v>0</v>
      </c>
      <c r="C440" s="21" t="s">
        <v>25</v>
      </c>
    </row>
    <row r="441" spans="1:3" x14ac:dyDescent="0.2">
      <c r="A441" s="2">
        <v>440</v>
      </c>
      <c r="B441" s="6">
        <v>0</v>
      </c>
      <c r="C441" s="21" t="s">
        <v>25</v>
      </c>
    </row>
    <row r="442" spans="1:3" x14ac:dyDescent="0.2">
      <c r="A442" s="2">
        <v>441</v>
      </c>
      <c r="B442" s="6">
        <v>0</v>
      </c>
      <c r="C442" s="21" t="s">
        <v>25</v>
      </c>
    </row>
    <row r="443" spans="1:3" x14ac:dyDescent="0.2">
      <c r="A443" s="2">
        <v>442</v>
      </c>
      <c r="B443" s="6">
        <v>0</v>
      </c>
      <c r="C443" s="21" t="s">
        <v>27</v>
      </c>
    </row>
    <row r="444" spans="1:3" x14ac:dyDescent="0.2">
      <c r="A444" s="2">
        <v>443</v>
      </c>
      <c r="B444" s="6">
        <v>0</v>
      </c>
      <c r="C444" s="21" t="s">
        <v>26</v>
      </c>
    </row>
    <row r="445" spans="1:3" x14ac:dyDescent="0.2">
      <c r="A445" s="2">
        <v>444</v>
      </c>
      <c r="B445" s="6">
        <v>0</v>
      </c>
      <c r="C445" s="21" t="s">
        <v>26</v>
      </c>
    </row>
    <row r="446" spans="1:3" x14ac:dyDescent="0.2">
      <c r="A446" s="2">
        <v>445</v>
      </c>
      <c r="B446" s="6">
        <v>0</v>
      </c>
      <c r="C446" s="21" t="s">
        <v>24</v>
      </c>
    </row>
    <row r="447" spans="1:3" x14ac:dyDescent="0.2">
      <c r="A447" s="2">
        <v>446</v>
      </c>
      <c r="B447" s="6">
        <v>0</v>
      </c>
      <c r="C447" s="21" t="s">
        <v>26</v>
      </c>
    </row>
    <row r="448" spans="1:3" x14ac:dyDescent="0.2">
      <c r="A448" s="2">
        <v>447</v>
      </c>
      <c r="B448" s="6">
        <v>0</v>
      </c>
      <c r="C448" s="21" t="s">
        <v>24</v>
      </c>
    </row>
    <row r="449" spans="1:3" x14ac:dyDescent="0.2">
      <c r="A449" s="2">
        <v>448</v>
      </c>
      <c r="B449" s="6">
        <v>0</v>
      </c>
      <c r="C449" s="21" t="s">
        <v>24</v>
      </c>
    </row>
    <row r="450" spans="1:3" x14ac:dyDescent="0.2">
      <c r="A450" s="2">
        <v>449</v>
      </c>
      <c r="B450" s="6">
        <v>1</v>
      </c>
      <c r="C450" s="21" t="s">
        <v>26</v>
      </c>
    </row>
    <row r="451" spans="1:3" x14ac:dyDescent="0.2">
      <c r="A451" s="2">
        <v>450</v>
      </c>
      <c r="B451" s="6">
        <v>0</v>
      </c>
      <c r="C451" s="21" t="s">
        <v>25</v>
      </c>
    </row>
    <row r="452" spans="1:3" x14ac:dyDescent="0.2">
      <c r="A452" s="2">
        <v>451</v>
      </c>
      <c r="B452" s="6">
        <v>1</v>
      </c>
      <c r="C452" s="21" t="s">
        <v>24</v>
      </c>
    </row>
    <row r="453" spans="1:3" x14ac:dyDescent="0.2">
      <c r="A453" s="2">
        <v>452</v>
      </c>
      <c r="B453" s="6">
        <v>1</v>
      </c>
      <c r="C453" s="21" t="s">
        <v>27</v>
      </c>
    </row>
    <row r="454" spans="1:3" x14ac:dyDescent="0.2">
      <c r="A454" s="2">
        <v>453</v>
      </c>
      <c r="B454" s="6">
        <v>0</v>
      </c>
      <c r="C454" s="21" t="s">
        <v>25</v>
      </c>
    </row>
    <row r="455" spans="1:3" x14ac:dyDescent="0.2">
      <c r="A455" s="2">
        <v>454</v>
      </c>
      <c r="B455" s="6">
        <v>0</v>
      </c>
      <c r="C455" s="21" t="s">
        <v>25</v>
      </c>
    </row>
    <row r="456" spans="1:3" x14ac:dyDescent="0.2">
      <c r="A456" s="2">
        <v>455</v>
      </c>
      <c r="B456" s="6">
        <v>0</v>
      </c>
      <c r="C456" s="21" t="s">
        <v>25</v>
      </c>
    </row>
    <row r="457" spans="1:3" x14ac:dyDescent="0.2">
      <c r="A457" s="2">
        <v>456</v>
      </c>
      <c r="B457" s="6">
        <v>1</v>
      </c>
      <c r="C457" s="21" t="s">
        <v>26</v>
      </c>
    </row>
    <row r="458" spans="1:3" x14ac:dyDescent="0.2">
      <c r="A458" s="2">
        <v>457</v>
      </c>
      <c r="B458" s="6">
        <v>0</v>
      </c>
      <c r="C458" s="21" t="s">
        <v>27</v>
      </c>
    </row>
    <row r="459" spans="1:3" x14ac:dyDescent="0.2">
      <c r="A459" s="2">
        <v>458</v>
      </c>
      <c r="B459" s="6">
        <v>0</v>
      </c>
      <c r="C459" s="21" t="s">
        <v>24</v>
      </c>
    </row>
    <row r="460" spans="1:3" x14ac:dyDescent="0.2">
      <c r="A460" s="2">
        <v>459</v>
      </c>
      <c r="B460" s="6">
        <v>0</v>
      </c>
      <c r="C460" s="21" t="s">
        <v>25</v>
      </c>
    </row>
    <row r="461" spans="1:3" x14ac:dyDescent="0.2">
      <c r="A461" s="2">
        <v>460</v>
      </c>
      <c r="B461" s="6">
        <v>1</v>
      </c>
      <c r="C461" s="21" t="s">
        <v>26</v>
      </c>
    </row>
    <row r="462" spans="1:3" x14ac:dyDescent="0.2">
      <c r="A462" s="2">
        <v>461</v>
      </c>
      <c r="B462" s="6">
        <v>1</v>
      </c>
      <c r="C462" s="21" t="s">
        <v>25</v>
      </c>
    </row>
    <row r="463" spans="1:3" x14ac:dyDescent="0.2">
      <c r="A463" s="2">
        <v>462</v>
      </c>
      <c r="B463" s="6">
        <v>0</v>
      </c>
      <c r="C463" s="21" t="s">
        <v>26</v>
      </c>
    </row>
    <row r="464" spans="1:3" x14ac:dyDescent="0.2">
      <c r="A464" s="2">
        <v>463</v>
      </c>
      <c r="B464" s="6">
        <v>0</v>
      </c>
      <c r="C464" s="21" t="s">
        <v>24</v>
      </c>
    </row>
    <row r="465" spans="1:3" x14ac:dyDescent="0.2">
      <c r="A465" s="2">
        <v>464</v>
      </c>
      <c r="B465" s="6">
        <v>0</v>
      </c>
      <c r="C465" s="21" t="s">
        <v>24</v>
      </c>
    </row>
    <row r="466" spans="1:3" x14ac:dyDescent="0.2">
      <c r="A466" s="2">
        <v>465</v>
      </c>
      <c r="B466" s="6">
        <v>0</v>
      </c>
      <c r="C466" s="21" t="s">
        <v>25</v>
      </c>
    </row>
    <row r="467" spans="1:3" x14ac:dyDescent="0.2">
      <c r="A467" s="2">
        <v>466</v>
      </c>
      <c r="B467" s="6">
        <v>1</v>
      </c>
      <c r="C467" s="21" t="s">
        <v>25</v>
      </c>
    </row>
    <row r="468" spans="1:3" x14ac:dyDescent="0.2">
      <c r="A468" s="2">
        <v>467</v>
      </c>
      <c r="B468" s="6">
        <v>0</v>
      </c>
      <c r="C468" s="21" t="s">
        <v>27</v>
      </c>
    </row>
    <row r="469" spans="1:3" x14ac:dyDescent="0.2">
      <c r="A469" s="2">
        <v>468</v>
      </c>
      <c r="B469" s="6">
        <v>0</v>
      </c>
      <c r="C469" s="21" t="s">
        <v>24</v>
      </c>
    </row>
    <row r="470" spans="1:3" x14ac:dyDescent="0.2">
      <c r="A470" s="2">
        <v>469</v>
      </c>
      <c r="B470" s="6">
        <v>0</v>
      </c>
      <c r="C470" s="21" t="s">
        <v>25</v>
      </c>
    </row>
    <row r="471" spans="1:3" x14ac:dyDescent="0.2">
      <c r="A471" s="2">
        <v>470</v>
      </c>
      <c r="B471" s="6">
        <v>1</v>
      </c>
      <c r="C471" s="21" t="s">
        <v>24</v>
      </c>
    </row>
    <row r="472" spans="1:3" x14ac:dyDescent="0.2">
      <c r="A472" s="2">
        <v>471</v>
      </c>
      <c r="B472" s="6">
        <v>1</v>
      </c>
      <c r="C472" s="21" t="s">
        <v>24</v>
      </c>
    </row>
    <row r="473" spans="1:3" x14ac:dyDescent="0.2">
      <c r="A473" s="2">
        <v>472</v>
      </c>
      <c r="B473" s="6">
        <v>0</v>
      </c>
      <c r="C473" s="21" t="s">
        <v>26</v>
      </c>
    </row>
    <row r="474" spans="1:3" x14ac:dyDescent="0.2">
      <c r="A474" s="2">
        <v>473</v>
      </c>
      <c r="B474" s="6">
        <v>1</v>
      </c>
      <c r="C474" s="21" t="s">
        <v>24</v>
      </c>
    </row>
    <row r="475" spans="1:3" x14ac:dyDescent="0.2">
      <c r="A475" s="2">
        <v>474</v>
      </c>
      <c r="B475" s="6">
        <v>0</v>
      </c>
      <c r="C475" s="21" t="s">
        <v>25</v>
      </c>
    </row>
    <row r="476" spans="1:3" x14ac:dyDescent="0.2">
      <c r="A476" s="2">
        <v>475</v>
      </c>
      <c r="B476" s="6">
        <v>0</v>
      </c>
      <c r="C476" s="21" t="s">
        <v>25</v>
      </c>
    </row>
    <row r="477" spans="1:3" x14ac:dyDescent="0.2">
      <c r="A477" s="2">
        <v>476</v>
      </c>
      <c r="B477" s="6">
        <v>0</v>
      </c>
      <c r="C477" s="21" t="s">
        <v>25</v>
      </c>
    </row>
    <row r="478" spans="1:3" x14ac:dyDescent="0.2">
      <c r="A478" s="2">
        <v>477</v>
      </c>
      <c r="B478" s="6">
        <v>0</v>
      </c>
      <c r="C478" s="21" t="s">
        <v>24</v>
      </c>
    </row>
    <row r="479" spans="1:3" x14ac:dyDescent="0.2">
      <c r="A479" s="2">
        <v>478</v>
      </c>
      <c r="B479" s="6">
        <v>0</v>
      </c>
      <c r="C479" s="21" t="s">
        <v>24</v>
      </c>
    </row>
    <row r="480" spans="1:3" x14ac:dyDescent="0.2">
      <c r="A480" s="2">
        <v>479</v>
      </c>
      <c r="B480" s="6">
        <v>1</v>
      </c>
      <c r="C480" s="21" t="s">
        <v>25</v>
      </c>
    </row>
    <row r="481" spans="1:3" x14ac:dyDescent="0.2">
      <c r="A481" s="2">
        <v>480</v>
      </c>
      <c r="B481" s="6">
        <v>0</v>
      </c>
      <c r="C481" s="21" t="s">
        <v>24</v>
      </c>
    </row>
    <row r="482" spans="1:3" x14ac:dyDescent="0.2">
      <c r="A482" s="2">
        <v>481</v>
      </c>
      <c r="B482" s="6">
        <v>0</v>
      </c>
      <c r="C482" s="21" t="s">
        <v>25</v>
      </c>
    </row>
    <row r="483" spans="1:3" x14ac:dyDescent="0.2">
      <c r="A483" s="2">
        <v>482</v>
      </c>
      <c r="B483" s="6">
        <v>0</v>
      </c>
      <c r="C483" s="21" t="s">
        <v>25</v>
      </c>
    </row>
    <row r="484" spans="1:3" x14ac:dyDescent="0.2">
      <c r="A484" s="2">
        <v>483</v>
      </c>
      <c r="B484" s="6">
        <v>0</v>
      </c>
      <c r="C484" s="21" t="s">
        <v>26</v>
      </c>
    </row>
    <row r="485" spans="1:3" x14ac:dyDescent="0.2">
      <c r="A485" s="2">
        <v>484</v>
      </c>
      <c r="B485" s="6">
        <v>1</v>
      </c>
      <c r="C485" s="21" t="s">
        <v>24</v>
      </c>
    </row>
    <row r="486" spans="1:3" x14ac:dyDescent="0.2">
      <c r="A486" s="2">
        <v>485</v>
      </c>
      <c r="B486" s="6">
        <v>0</v>
      </c>
      <c r="C486" s="21" t="s">
        <v>26</v>
      </c>
    </row>
    <row r="487" spans="1:3" x14ac:dyDescent="0.2">
      <c r="A487" s="2">
        <v>486</v>
      </c>
      <c r="B487" s="6">
        <v>0</v>
      </c>
      <c r="C487" s="21" t="s">
        <v>24</v>
      </c>
    </row>
    <row r="488" spans="1:3" x14ac:dyDescent="0.2">
      <c r="A488" s="2">
        <v>487</v>
      </c>
      <c r="B488" s="6">
        <v>1</v>
      </c>
      <c r="C488" s="21" t="s">
        <v>27</v>
      </c>
    </row>
    <row r="489" spans="1:3" x14ac:dyDescent="0.2">
      <c r="A489" s="2">
        <v>488</v>
      </c>
      <c r="B489" s="6">
        <v>0</v>
      </c>
      <c r="C489" s="21" t="s">
        <v>26</v>
      </c>
    </row>
    <row r="490" spans="1:3" x14ac:dyDescent="0.2">
      <c r="A490" s="2">
        <v>489</v>
      </c>
      <c r="B490" s="6">
        <v>0</v>
      </c>
      <c r="C490" s="21" t="s">
        <v>26</v>
      </c>
    </row>
    <row r="491" spans="1:3" x14ac:dyDescent="0.2">
      <c r="A491" s="2">
        <v>490</v>
      </c>
      <c r="B491" s="6">
        <v>0</v>
      </c>
      <c r="C491" s="21" t="s">
        <v>24</v>
      </c>
    </row>
    <row r="492" spans="1:3" x14ac:dyDescent="0.2">
      <c r="A492" s="2">
        <v>491</v>
      </c>
      <c r="B492" s="6">
        <v>0</v>
      </c>
      <c r="C492" s="21" t="s">
        <v>24</v>
      </c>
    </row>
    <row r="493" spans="1:3" x14ac:dyDescent="0.2">
      <c r="A493" s="2">
        <v>492</v>
      </c>
      <c r="B493" s="6">
        <v>1</v>
      </c>
      <c r="C493" s="21" t="s">
        <v>25</v>
      </c>
    </row>
    <row r="494" spans="1:3" x14ac:dyDescent="0.2">
      <c r="A494" s="2">
        <v>493</v>
      </c>
      <c r="B494" s="6">
        <v>1</v>
      </c>
      <c r="C494" s="21" t="s">
        <v>25</v>
      </c>
    </row>
    <row r="495" spans="1:3" x14ac:dyDescent="0.2">
      <c r="A495" s="2">
        <v>494</v>
      </c>
      <c r="B495" s="6">
        <v>0</v>
      </c>
      <c r="C495" s="21" t="s">
        <v>27</v>
      </c>
    </row>
    <row r="496" spans="1:3" x14ac:dyDescent="0.2">
      <c r="A496" s="2">
        <v>495</v>
      </c>
      <c r="B496" s="6">
        <v>1</v>
      </c>
      <c r="C496" s="21" t="s">
        <v>24</v>
      </c>
    </row>
    <row r="497" spans="1:3" x14ac:dyDescent="0.2">
      <c r="A497" s="2">
        <v>496</v>
      </c>
      <c r="B497" s="6">
        <v>0</v>
      </c>
      <c r="C497" s="21" t="s">
        <v>25</v>
      </c>
    </row>
    <row r="498" spans="1:3" x14ac:dyDescent="0.2">
      <c r="A498" s="2">
        <v>497</v>
      </c>
      <c r="B498" s="6">
        <v>0</v>
      </c>
      <c r="C498" s="21" t="s">
        <v>26</v>
      </c>
    </row>
    <row r="499" spans="1:3" x14ac:dyDescent="0.2">
      <c r="A499" s="2">
        <v>498</v>
      </c>
      <c r="B499" s="6">
        <v>0</v>
      </c>
      <c r="C499" s="21" t="s">
        <v>25</v>
      </c>
    </row>
    <row r="500" spans="1:3" x14ac:dyDescent="0.2">
      <c r="A500" s="2">
        <v>499</v>
      </c>
      <c r="B500" s="6">
        <v>0</v>
      </c>
      <c r="C500" s="21" t="s">
        <v>24</v>
      </c>
    </row>
    <row r="501" spans="1:3" x14ac:dyDescent="0.2">
      <c r="A501" s="2">
        <v>500</v>
      </c>
      <c r="B501" s="6">
        <v>0</v>
      </c>
      <c r="C501" s="21" t="s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1DEE-B997-4DE8-8326-B2399832296F}">
  <dimension ref="A1:H501"/>
  <sheetViews>
    <sheetView zoomScale="115" zoomScaleNormal="115" workbookViewId="0">
      <selection activeCell="O13" sqref="O13"/>
    </sheetView>
  </sheetViews>
  <sheetFormatPr defaultRowHeight="12.75" x14ac:dyDescent="0.2"/>
  <cols>
    <col min="1" max="1" width="9.42578125" style="13" customWidth="1"/>
    <col min="2" max="2" width="10.42578125" style="6" customWidth="1"/>
    <col min="3" max="3" width="5.5703125" customWidth="1"/>
    <col min="4" max="4" width="13.42578125" bestFit="1" customWidth="1"/>
    <col min="5" max="5" width="5.5703125" customWidth="1"/>
    <col min="6" max="6" width="26.140625" customWidth="1"/>
    <col min="8" max="8" width="23" bestFit="1" customWidth="1"/>
  </cols>
  <sheetData>
    <row r="1" spans="1:8" x14ac:dyDescent="0.2">
      <c r="A1" s="12" t="s">
        <v>9</v>
      </c>
      <c r="B1" s="11" t="s">
        <v>17</v>
      </c>
      <c r="C1" t="s">
        <v>18</v>
      </c>
      <c r="D1" s="15" t="s">
        <v>20</v>
      </c>
      <c r="F1" s="16" t="s">
        <v>23</v>
      </c>
      <c r="H1" s="18" t="s">
        <v>22</v>
      </c>
    </row>
    <row r="2" spans="1:8" x14ac:dyDescent="0.2">
      <c r="A2" s="13">
        <v>1</v>
      </c>
      <c r="B2" s="6">
        <v>1</v>
      </c>
      <c r="D2" s="14">
        <f>ROWS(A2:A501)</f>
        <v>500</v>
      </c>
      <c r="F2" s="17">
        <f>1-H2</f>
        <v>0.752</v>
      </c>
      <c r="H2" s="17">
        <f>D6/D2</f>
        <v>0.248</v>
      </c>
    </row>
    <row r="3" spans="1:8" x14ac:dyDescent="0.2">
      <c r="A3" s="13">
        <v>2</v>
      </c>
      <c r="B3" s="6">
        <v>0</v>
      </c>
    </row>
    <row r="4" spans="1:8" x14ac:dyDescent="0.2">
      <c r="A4" s="13">
        <v>3</v>
      </c>
      <c r="B4" s="6">
        <v>0</v>
      </c>
    </row>
    <row r="5" spans="1:8" x14ac:dyDescent="0.2">
      <c r="A5" s="13">
        <v>4</v>
      </c>
      <c r="B5" s="6">
        <v>0</v>
      </c>
      <c r="D5" s="15" t="s">
        <v>19</v>
      </c>
    </row>
    <row r="6" spans="1:8" x14ac:dyDescent="0.2">
      <c r="A6" s="13">
        <v>5</v>
      </c>
      <c r="B6" s="6">
        <v>0</v>
      </c>
      <c r="D6" s="14">
        <f>COUNTIF(B2:B501, 1)</f>
        <v>124</v>
      </c>
    </row>
    <row r="7" spans="1:8" x14ac:dyDescent="0.2">
      <c r="A7" s="13">
        <v>6</v>
      </c>
      <c r="B7" s="6">
        <v>0</v>
      </c>
    </row>
    <row r="8" spans="1:8" x14ac:dyDescent="0.2">
      <c r="A8" s="13">
        <v>7</v>
      </c>
      <c r="B8" s="6">
        <v>0</v>
      </c>
      <c r="D8" s="15" t="s">
        <v>21</v>
      </c>
    </row>
    <row r="9" spans="1:8" x14ac:dyDescent="0.2">
      <c r="A9" s="13">
        <v>8</v>
      </c>
      <c r="B9" s="6">
        <v>0</v>
      </c>
      <c r="D9" s="14">
        <f>COUNTIF(B2:B501, 0)</f>
        <v>376</v>
      </c>
    </row>
    <row r="10" spans="1:8" x14ac:dyDescent="0.2">
      <c r="A10" s="13">
        <v>9</v>
      </c>
      <c r="B10" s="6">
        <v>1</v>
      </c>
    </row>
    <row r="11" spans="1:8" x14ac:dyDescent="0.2">
      <c r="A11" s="13">
        <v>10</v>
      </c>
      <c r="B11" s="6">
        <v>0</v>
      </c>
    </row>
    <row r="12" spans="1:8" x14ac:dyDescent="0.2">
      <c r="A12" s="13">
        <v>11</v>
      </c>
      <c r="B12" s="6">
        <v>1</v>
      </c>
    </row>
    <row r="13" spans="1:8" x14ac:dyDescent="0.2">
      <c r="A13" s="13">
        <v>12</v>
      </c>
      <c r="B13" s="6">
        <v>0</v>
      </c>
    </row>
    <row r="14" spans="1:8" x14ac:dyDescent="0.2">
      <c r="A14" s="13">
        <v>13</v>
      </c>
      <c r="B14" s="6">
        <v>0</v>
      </c>
    </row>
    <row r="15" spans="1:8" x14ac:dyDescent="0.2">
      <c r="A15" s="13">
        <v>14</v>
      </c>
      <c r="B15" s="6">
        <v>0</v>
      </c>
    </row>
    <row r="16" spans="1:8" x14ac:dyDescent="0.2">
      <c r="A16" s="13">
        <v>15</v>
      </c>
      <c r="B16" s="6">
        <v>0</v>
      </c>
    </row>
    <row r="17" spans="1:2" x14ac:dyDescent="0.2">
      <c r="A17" s="13">
        <v>16</v>
      </c>
      <c r="B17" s="6">
        <v>0</v>
      </c>
    </row>
    <row r="18" spans="1:2" x14ac:dyDescent="0.2">
      <c r="A18" s="13">
        <v>17</v>
      </c>
      <c r="B18" s="6">
        <v>0</v>
      </c>
    </row>
    <row r="19" spans="1:2" x14ac:dyDescent="0.2">
      <c r="A19" s="13">
        <v>18</v>
      </c>
      <c r="B19" s="6">
        <v>0</v>
      </c>
    </row>
    <row r="20" spans="1:2" x14ac:dyDescent="0.2">
      <c r="A20" s="13">
        <v>19</v>
      </c>
      <c r="B20" s="6">
        <v>0</v>
      </c>
    </row>
    <row r="21" spans="1:2" x14ac:dyDescent="0.2">
      <c r="A21" s="13">
        <v>20</v>
      </c>
      <c r="B21" s="6">
        <v>1</v>
      </c>
    </row>
    <row r="22" spans="1:2" x14ac:dyDescent="0.2">
      <c r="A22" s="13">
        <v>21</v>
      </c>
      <c r="B22" s="6">
        <v>1</v>
      </c>
    </row>
    <row r="23" spans="1:2" x14ac:dyDescent="0.2">
      <c r="A23" s="13">
        <v>22</v>
      </c>
      <c r="B23" s="6">
        <v>0</v>
      </c>
    </row>
    <row r="24" spans="1:2" x14ac:dyDescent="0.2">
      <c r="A24" s="13">
        <v>23</v>
      </c>
      <c r="B24" s="6">
        <v>0</v>
      </c>
    </row>
    <row r="25" spans="1:2" x14ac:dyDescent="0.2">
      <c r="A25" s="13">
        <v>24</v>
      </c>
      <c r="B25" s="6">
        <v>0</v>
      </c>
    </row>
    <row r="26" spans="1:2" x14ac:dyDescent="0.2">
      <c r="A26" s="13">
        <v>25</v>
      </c>
      <c r="B26" s="6">
        <v>0</v>
      </c>
    </row>
    <row r="27" spans="1:2" x14ac:dyDescent="0.2">
      <c r="A27" s="13">
        <v>26</v>
      </c>
      <c r="B27" s="6">
        <v>0</v>
      </c>
    </row>
    <row r="28" spans="1:2" x14ac:dyDescent="0.2">
      <c r="A28" s="13">
        <v>27</v>
      </c>
      <c r="B28" s="6">
        <v>0</v>
      </c>
    </row>
    <row r="29" spans="1:2" x14ac:dyDescent="0.2">
      <c r="A29" s="13">
        <v>28</v>
      </c>
      <c r="B29" s="6">
        <v>0</v>
      </c>
    </row>
    <row r="30" spans="1:2" x14ac:dyDescent="0.2">
      <c r="A30" s="13">
        <v>29</v>
      </c>
      <c r="B30" s="6">
        <v>0</v>
      </c>
    </row>
    <row r="31" spans="1:2" x14ac:dyDescent="0.2">
      <c r="A31" s="13">
        <v>30</v>
      </c>
      <c r="B31" s="6">
        <v>0</v>
      </c>
    </row>
    <row r="32" spans="1:2" x14ac:dyDescent="0.2">
      <c r="A32" s="13">
        <v>31</v>
      </c>
      <c r="B32" s="6">
        <v>1</v>
      </c>
    </row>
    <row r="33" spans="1:2" x14ac:dyDescent="0.2">
      <c r="A33" s="13">
        <v>32</v>
      </c>
      <c r="B33" s="6">
        <v>1</v>
      </c>
    </row>
    <row r="34" spans="1:2" x14ac:dyDescent="0.2">
      <c r="A34" s="13">
        <v>33</v>
      </c>
      <c r="B34" s="6">
        <v>0</v>
      </c>
    </row>
    <row r="35" spans="1:2" x14ac:dyDescent="0.2">
      <c r="A35" s="13">
        <v>34</v>
      </c>
      <c r="B35" s="6">
        <v>1</v>
      </c>
    </row>
    <row r="36" spans="1:2" x14ac:dyDescent="0.2">
      <c r="A36" s="13">
        <v>35</v>
      </c>
      <c r="B36" s="6">
        <v>1</v>
      </c>
    </row>
    <row r="37" spans="1:2" x14ac:dyDescent="0.2">
      <c r="A37" s="13">
        <v>36</v>
      </c>
      <c r="B37" s="6">
        <v>0</v>
      </c>
    </row>
    <row r="38" spans="1:2" x14ac:dyDescent="0.2">
      <c r="A38" s="13">
        <v>37</v>
      </c>
      <c r="B38" s="6">
        <v>0</v>
      </c>
    </row>
    <row r="39" spans="1:2" x14ac:dyDescent="0.2">
      <c r="A39" s="13">
        <v>38</v>
      </c>
      <c r="B39" s="6">
        <v>0</v>
      </c>
    </row>
    <row r="40" spans="1:2" x14ac:dyDescent="0.2">
      <c r="A40" s="13">
        <v>39</v>
      </c>
      <c r="B40" s="6">
        <v>1</v>
      </c>
    </row>
    <row r="41" spans="1:2" x14ac:dyDescent="0.2">
      <c r="A41" s="13">
        <v>40</v>
      </c>
      <c r="B41" s="6">
        <v>1</v>
      </c>
    </row>
    <row r="42" spans="1:2" x14ac:dyDescent="0.2">
      <c r="A42" s="13">
        <v>41</v>
      </c>
      <c r="B42" s="6">
        <v>0</v>
      </c>
    </row>
    <row r="43" spans="1:2" x14ac:dyDescent="0.2">
      <c r="A43" s="13">
        <v>42</v>
      </c>
      <c r="B43" s="6">
        <v>0</v>
      </c>
    </row>
    <row r="44" spans="1:2" x14ac:dyDescent="0.2">
      <c r="A44" s="13">
        <v>43</v>
      </c>
      <c r="B44" s="6">
        <v>0</v>
      </c>
    </row>
    <row r="45" spans="1:2" x14ac:dyDescent="0.2">
      <c r="A45" s="13">
        <v>44</v>
      </c>
      <c r="B45" s="6">
        <v>0</v>
      </c>
    </row>
    <row r="46" spans="1:2" x14ac:dyDescent="0.2">
      <c r="A46" s="13">
        <v>45</v>
      </c>
      <c r="B46" s="6">
        <v>0</v>
      </c>
    </row>
    <row r="47" spans="1:2" x14ac:dyDescent="0.2">
      <c r="A47" s="13">
        <v>46</v>
      </c>
      <c r="B47" s="6">
        <v>1</v>
      </c>
    </row>
    <row r="48" spans="1:2" x14ac:dyDescent="0.2">
      <c r="A48" s="13">
        <v>47</v>
      </c>
      <c r="B48" s="6">
        <v>0</v>
      </c>
    </row>
    <row r="49" spans="1:2" x14ac:dyDescent="0.2">
      <c r="A49" s="13">
        <v>48</v>
      </c>
      <c r="B49" s="6">
        <v>1</v>
      </c>
    </row>
    <row r="50" spans="1:2" x14ac:dyDescent="0.2">
      <c r="A50" s="13">
        <v>49</v>
      </c>
      <c r="B50" s="6">
        <v>1</v>
      </c>
    </row>
    <row r="51" spans="1:2" x14ac:dyDescent="0.2">
      <c r="A51" s="13">
        <v>50</v>
      </c>
      <c r="B51" s="6">
        <v>0</v>
      </c>
    </row>
    <row r="52" spans="1:2" x14ac:dyDescent="0.2">
      <c r="A52" s="13">
        <v>51</v>
      </c>
      <c r="B52" s="6">
        <v>0</v>
      </c>
    </row>
    <row r="53" spans="1:2" x14ac:dyDescent="0.2">
      <c r="A53" s="13">
        <v>52</v>
      </c>
      <c r="B53" s="6">
        <v>0</v>
      </c>
    </row>
    <row r="54" spans="1:2" x14ac:dyDescent="0.2">
      <c r="A54" s="13">
        <v>53</v>
      </c>
      <c r="B54" s="6">
        <v>0</v>
      </c>
    </row>
    <row r="55" spans="1:2" x14ac:dyDescent="0.2">
      <c r="A55" s="13">
        <v>54</v>
      </c>
      <c r="B55" s="6">
        <v>0</v>
      </c>
    </row>
    <row r="56" spans="1:2" x14ac:dyDescent="0.2">
      <c r="A56" s="13">
        <v>55</v>
      </c>
      <c r="B56" s="6">
        <v>0</v>
      </c>
    </row>
    <row r="57" spans="1:2" x14ac:dyDescent="0.2">
      <c r="A57" s="13">
        <v>56</v>
      </c>
      <c r="B57" s="6">
        <v>0</v>
      </c>
    </row>
    <row r="58" spans="1:2" x14ac:dyDescent="0.2">
      <c r="A58" s="13">
        <v>57</v>
      </c>
      <c r="B58" s="6">
        <v>0</v>
      </c>
    </row>
    <row r="59" spans="1:2" x14ac:dyDescent="0.2">
      <c r="A59" s="13">
        <v>58</v>
      </c>
      <c r="B59" s="6">
        <v>0</v>
      </c>
    </row>
    <row r="60" spans="1:2" x14ac:dyDescent="0.2">
      <c r="A60" s="13">
        <v>59</v>
      </c>
      <c r="B60" s="6">
        <v>0</v>
      </c>
    </row>
    <row r="61" spans="1:2" x14ac:dyDescent="0.2">
      <c r="A61" s="13">
        <v>60</v>
      </c>
      <c r="B61" s="6">
        <v>0</v>
      </c>
    </row>
    <row r="62" spans="1:2" x14ac:dyDescent="0.2">
      <c r="A62" s="13">
        <v>61</v>
      </c>
      <c r="B62" s="6">
        <v>0</v>
      </c>
    </row>
    <row r="63" spans="1:2" x14ac:dyDescent="0.2">
      <c r="A63" s="13">
        <v>62</v>
      </c>
      <c r="B63" s="6">
        <v>0</v>
      </c>
    </row>
    <row r="64" spans="1:2" x14ac:dyDescent="0.2">
      <c r="A64" s="13">
        <v>63</v>
      </c>
      <c r="B64" s="6">
        <v>0</v>
      </c>
    </row>
    <row r="65" spans="1:2" x14ac:dyDescent="0.2">
      <c r="A65" s="13">
        <v>64</v>
      </c>
      <c r="B65" s="6">
        <v>0</v>
      </c>
    </row>
    <row r="66" spans="1:2" x14ac:dyDescent="0.2">
      <c r="A66" s="13">
        <v>65</v>
      </c>
      <c r="B66" s="6">
        <v>0</v>
      </c>
    </row>
    <row r="67" spans="1:2" x14ac:dyDescent="0.2">
      <c r="A67" s="13">
        <v>66</v>
      </c>
      <c r="B67" s="6">
        <v>0</v>
      </c>
    </row>
    <row r="68" spans="1:2" x14ac:dyDescent="0.2">
      <c r="A68" s="13">
        <v>67</v>
      </c>
      <c r="B68" s="6">
        <v>0</v>
      </c>
    </row>
    <row r="69" spans="1:2" x14ac:dyDescent="0.2">
      <c r="A69" s="13">
        <v>68</v>
      </c>
      <c r="B69" s="6">
        <v>1</v>
      </c>
    </row>
    <row r="70" spans="1:2" x14ac:dyDescent="0.2">
      <c r="A70" s="13">
        <v>69</v>
      </c>
      <c r="B70" s="6">
        <v>0</v>
      </c>
    </row>
    <row r="71" spans="1:2" x14ac:dyDescent="0.2">
      <c r="A71" s="13">
        <v>70</v>
      </c>
      <c r="B71" s="6">
        <v>0</v>
      </c>
    </row>
    <row r="72" spans="1:2" x14ac:dyDescent="0.2">
      <c r="A72" s="13">
        <v>71</v>
      </c>
      <c r="B72" s="6">
        <v>0</v>
      </c>
    </row>
    <row r="73" spans="1:2" x14ac:dyDescent="0.2">
      <c r="A73" s="13">
        <v>72</v>
      </c>
      <c r="B73" s="6">
        <v>0</v>
      </c>
    </row>
    <row r="74" spans="1:2" x14ac:dyDescent="0.2">
      <c r="A74" s="13">
        <v>73</v>
      </c>
      <c r="B74" s="6">
        <v>0</v>
      </c>
    </row>
    <row r="75" spans="1:2" x14ac:dyDescent="0.2">
      <c r="A75" s="13">
        <v>74</v>
      </c>
      <c r="B75" s="6">
        <v>0</v>
      </c>
    </row>
    <row r="76" spans="1:2" x14ac:dyDescent="0.2">
      <c r="A76" s="13">
        <v>75</v>
      </c>
      <c r="B76" s="6">
        <v>0</v>
      </c>
    </row>
    <row r="77" spans="1:2" x14ac:dyDescent="0.2">
      <c r="A77" s="13">
        <v>76</v>
      </c>
      <c r="B77" s="6">
        <v>0</v>
      </c>
    </row>
    <row r="78" spans="1:2" x14ac:dyDescent="0.2">
      <c r="A78" s="13">
        <v>77</v>
      </c>
      <c r="B78" s="6">
        <v>0</v>
      </c>
    </row>
    <row r="79" spans="1:2" x14ac:dyDescent="0.2">
      <c r="A79" s="13">
        <v>78</v>
      </c>
      <c r="B79" s="6">
        <v>0</v>
      </c>
    </row>
    <row r="80" spans="1:2" x14ac:dyDescent="0.2">
      <c r="A80" s="13">
        <v>79</v>
      </c>
      <c r="B80" s="6">
        <v>0</v>
      </c>
    </row>
    <row r="81" spans="1:2" x14ac:dyDescent="0.2">
      <c r="A81" s="13">
        <v>80</v>
      </c>
      <c r="B81" s="6">
        <v>1</v>
      </c>
    </row>
    <row r="82" spans="1:2" x14ac:dyDescent="0.2">
      <c r="A82" s="13">
        <v>81</v>
      </c>
      <c r="B82" s="6">
        <v>0</v>
      </c>
    </row>
    <row r="83" spans="1:2" x14ac:dyDescent="0.2">
      <c r="A83" s="13">
        <v>82</v>
      </c>
      <c r="B83" s="6">
        <v>0</v>
      </c>
    </row>
    <row r="84" spans="1:2" x14ac:dyDescent="0.2">
      <c r="A84" s="13">
        <v>83</v>
      </c>
      <c r="B84" s="6">
        <v>0</v>
      </c>
    </row>
    <row r="85" spans="1:2" x14ac:dyDescent="0.2">
      <c r="A85" s="13">
        <v>84</v>
      </c>
      <c r="B85" s="6">
        <v>0</v>
      </c>
    </row>
    <row r="86" spans="1:2" x14ac:dyDescent="0.2">
      <c r="A86" s="13">
        <v>85</v>
      </c>
      <c r="B86" s="6">
        <v>0</v>
      </c>
    </row>
    <row r="87" spans="1:2" x14ac:dyDescent="0.2">
      <c r="A87" s="13">
        <v>86</v>
      </c>
      <c r="B87" s="6">
        <v>0</v>
      </c>
    </row>
    <row r="88" spans="1:2" x14ac:dyDescent="0.2">
      <c r="A88" s="13">
        <v>87</v>
      </c>
      <c r="B88" s="6">
        <v>0</v>
      </c>
    </row>
    <row r="89" spans="1:2" x14ac:dyDescent="0.2">
      <c r="A89" s="13">
        <v>88</v>
      </c>
      <c r="B89" s="6">
        <v>0</v>
      </c>
    </row>
    <row r="90" spans="1:2" x14ac:dyDescent="0.2">
      <c r="A90" s="13">
        <v>89</v>
      </c>
      <c r="B90" s="6">
        <v>0</v>
      </c>
    </row>
    <row r="91" spans="1:2" x14ac:dyDescent="0.2">
      <c r="A91" s="13">
        <v>90</v>
      </c>
      <c r="B91" s="6">
        <v>0</v>
      </c>
    </row>
    <row r="92" spans="1:2" x14ac:dyDescent="0.2">
      <c r="A92" s="13">
        <v>91</v>
      </c>
      <c r="B92" s="6">
        <v>1</v>
      </c>
    </row>
    <row r="93" spans="1:2" x14ac:dyDescent="0.2">
      <c r="A93" s="13">
        <v>92</v>
      </c>
      <c r="B93" s="6">
        <v>0</v>
      </c>
    </row>
    <row r="94" spans="1:2" x14ac:dyDescent="0.2">
      <c r="A94" s="13">
        <v>93</v>
      </c>
      <c r="B94" s="6">
        <v>0</v>
      </c>
    </row>
    <row r="95" spans="1:2" x14ac:dyDescent="0.2">
      <c r="A95" s="13">
        <v>94</v>
      </c>
      <c r="B95" s="6">
        <v>0</v>
      </c>
    </row>
    <row r="96" spans="1:2" x14ac:dyDescent="0.2">
      <c r="A96" s="13">
        <v>95</v>
      </c>
      <c r="B96" s="6">
        <v>0</v>
      </c>
    </row>
    <row r="97" spans="1:2" x14ac:dyDescent="0.2">
      <c r="A97" s="13">
        <v>96</v>
      </c>
      <c r="B97" s="6">
        <v>0</v>
      </c>
    </row>
    <row r="98" spans="1:2" x14ac:dyDescent="0.2">
      <c r="A98" s="13">
        <v>97</v>
      </c>
      <c r="B98" s="6">
        <v>0</v>
      </c>
    </row>
    <row r="99" spans="1:2" x14ac:dyDescent="0.2">
      <c r="A99" s="13">
        <v>98</v>
      </c>
      <c r="B99" s="6">
        <v>0</v>
      </c>
    </row>
    <row r="100" spans="1:2" x14ac:dyDescent="0.2">
      <c r="A100" s="13">
        <v>99</v>
      </c>
      <c r="B100" s="6">
        <v>0</v>
      </c>
    </row>
    <row r="101" spans="1:2" x14ac:dyDescent="0.2">
      <c r="A101" s="13">
        <v>100</v>
      </c>
      <c r="B101" s="6">
        <v>0</v>
      </c>
    </row>
    <row r="102" spans="1:2" x14ac:dyDescent="0.2">
      <c r="A102" s="13">
        <v>101</v>
      </c>
      <c r="B102" s="6">
        <v>0</v>
      </c>
    </row>
    <row r="103" spans="1:2" x14ac:dyDescent="0.2">
      <c r="A103" s="13">
        <v>102</v>
      </c>
      <c r="B103" s="6">
        <v>1</v>
      </c>
    </row>
    <row r="104" spans="1:2" x14ac:dyDescent="0.2">
      <c r="A104" s="13">
        <v>103</v>
      </c>
      <c r="B104" s="6">
        <v>0</v>
      </c>
    </row>
    <row r="105" spans="1:2" x14ac:dyDescent="0.2">
      <c r="A105" s="13">
        <v>104</v>
      </c>
      <c r="B105" s="6">
        <v>0</v>
      </c>
    </row>
    <row r="106" spans="1:2" x14ac:dyDescent="0.2">
      <c r="A106" s="13">
        <v>105</v>
      </c>
      <c r="B106" s="6">
        <v>0</v>
      </c>
    </row>
    <row r="107" spans="1:2" x14ac:dyDescent="0.2">
      <c r="A107" s="13">
        <v>106</v>
      </c>
      <c r="B107" s="6">
        <v>0</v>
      </c>
    </row>
    <row r="108" spans="1:2" x14ac:dyDescent="0.2">
      <c r="A108" s="13">
        <v>107</v>
      </c>
      <c r="B108" s="6">
        <v>1</v>
      </c>
    </row>
    <row r="109" spans="1:2" x14ac:dyDescent="0.2">
      <c r="A109" s="13">
        <v>108</v>
      </c>
      <c r="B109" s="6">
        <v>0</v>
      </c>
    </row>
    <row r="110" spans="1:2" x14ac:dyDescent="0.2">
      <c r="A110" s="13">
        <v>109</v>
      </c>
      <c r="B110" s="6">
        <v>0</v>
      </c>
    </row>
    <row r="111" spans="1:2" x14ac:dyDescent="0.2">
      <c r="A111" s="13">
        <v>110</v>
      </c>
      <c r="B111" s="6">
        <v>0</v>
      </c>
    </row>
    <row r="112" spans="1:2" x14ac:dyDescent="0.2">
      <c r="A112" s="13">
        <v>111</v>
      </c>
      <c r="B112" s="6">
        <v>0</v>
      </c>
    </row>
    <row r="113" spans="1:2" x14ac:dyDescent="0.2">
      <c r="A113" s="13">
        <v>112</v>
      </c>
      <c r="B113" s="6">
        <v>0</v>
      </c>
    </row>
    <row r="114" spans="1:2" x14ac:dyDescent="0.2">
      <c r="A114" s="13">
        <v>113</v>
      </c>
      <c r="B114" s="6">
        <v>0</v>
      </c>
    </row>
    <row r="115" spans="1:2" x14ac:dyDescent="0.2">
      <c r="A115" s="13">
        <v>114</v>
      </c>
      <c r="B115" s="6">
        <v>0</v>
      </c>
    </row>
    <row r="116" spans="1:2" x14ac:dyDescent="0.2">
      <c r="A116" s="13">
        <v>115</v>
      </c>
      <c r="B116" s="6">
        <v>0</v>
      </c>
    </row>
    <row r="117" spans="1:2" x14ac:dyDescent="0.2">
      <c r="A117" s="13">
        <v>116</v>
      </c>
      <c r="B117" s="6">
        <v>0</v>
      </c>
    </row>
    <row r="118" spans="1:2" x14ac:dyDescent="0.2">
      <c r="A118" s="13">
        <v>117</v>
      </c>
      <c r="B118" s="6">
        <v>1</v>
      </c>
    </row>
    <row r="119" spans="1:2" x14ac:dyDescent="0.2">
      <c r="A119" s="13">
        <v>118</v>
      </c>
      <c r="B119" s="6">
        <v>1</v>
      </c>
    </row>
    <row r="120" spans="1:2" x14ac:dyDescent="0.2">
      <c r="A120" s="13">
        <v>119</v>
      </c>
      <c r="B120" s="6">
        <v>1</v>
      </c>
    </row>
    <row r="121" spans="1:2" x14ac:dyDescent="0.2">
      <c r="A121" s="13">
        <v>120</v>
      </c>
      <c r="B121" s="6">
        <v>0</v>
      </c>
    </row>
    <row r="122" spans="1:2" x14ac:dyDescent="0.2">
      <c r="A122" s="13">
        <v>121</v>
      </c>
      <c r="B122" s="6">
        <v>0</v>
      </c>
    </row>
    <row r="123" spans="1:2" x14ac:dyDescent="0.2">
      <c r="A123" s="13">
        <v>122</v>
      </c>
      <c r="B123" s="6">
        <v>1</v>
      </c>
    </row>
    <row r="124" spans="1:2" x14ac:dyDescent="0.2">
      <c r="A124" s="13">
        <v>123</v>
      </c>
      <c r="B124" s="6">
        <v>0</v>
      </c>
    </row>
    <row r="125" spans="1:2" x14ac:dyDescent="0.2">
      <c r="A125" s="13">
        <v>124</v>
      </c>
      <c r="B125" s="6">
        <v>0</v>
      </c>
    </row>
    <row r="126" spans="1:2" x14ac:dyDescent="0.2">
      <c r="A126" s="13">
        <v>125</v>
      </c>
      <c r="B126" s="6">
        <v>1</v>
      </c>
    </row>
    <row r="127" spans="1:2" x14ac:dyDescent="0.2">
      <c r="A127" s="13">
        <v>126</v>
      </c>
      <c r="B127" s="6">
        <v>1</v>
      </c>
    </row>
    <row r="128" spans="1:2" x14ac:dyDescent="0.2">
      <c r="A128" s="13">
        <v>127</v>
      </c>
      <c r="B128" s="6">
        <v>0</v>
      </c>
    </row>
    <row r="129" spans="1:2" x14ac:dyDescent="0.2">
      <c r="A129" s="13">
        <v>128</v>
      </c>
      <c r="B129" s="6">
        <v>0</v>
      </c>
    </row>
    <row r="130" spans="1:2" x14ac:dyDescent="0.2">
      <c r="A130" s="13">
        <v>129</v>
      </c>
      <c r="B130" s="6">
        <v>0</v>
      </c>
    </row>
    <row r="131" spans="1:2" x14ac:dyDescent="0.2">
      <c r="A131" s="13">
        <v>130</v>
      </c>
      <c r="B131" s="6">
        <v>1</v>
      </c>
    </row>
    <row r="132" spans="1:2" x14ac:dyDescent="0.2">
      <c r="A132" s="13">
        <v>131</v>
      </c>
      <c r="B132" s="6">
        <v>1</v>
      </c>
    </row>
    <row r="133" spans="1:2" x14ac:dyDescent="0.2">
      <c r="A133" s="13">
        <v>132</v>
      </c>
      <c r="B133" s="6">
        <v>0</v>
      </c>
    </row>
    <row r="134" spans="1:2" x14ac:dyDescent="0.2">
      <c r="A134" s="13">
        <v>133</v>
      </c>
      <c r="B134" s="6">
        <v>0</v>
      </c>
    </row>
    <row r="135" spans="1:2" x14ac:dyDescent="0.2">
      <c r="A135" s="13">
        <v>134</v>
      </c>
      <c r="B135" s="6">
        <v>1</v>
      </c>
    </row>
    <row r="136" spans="1:2" x14ac:dyDescent="0.2">
      <c r="A136" s="13">
        <v>135</v>
      </c>
      <c r="B136" s="6">
        <v>0</v>
      </c>
    </row>
    <row r="137" spans="1:2" x14ac:dyDescent="0.2">
      <c r="A137" s="13">
        <v>136</v>
      </c>
      <c r="B137" s="6">
        <v>0</v>
      </c>
    </row>
    <row r="138" spans="1:2" x14ac:dyDescent="0.2">
      <c r="A138" s="13">
        <v>137</v>
      </c>
      <c r="B138" s="6">
        <v>1</v>
      </c>
    </row>
    <row r="139" spans="1:2" x14ac:dyDescent="0.2">
      <c r="A139" s="13">
        <v>138</v>
      </c>
      <c r="B139" s="6">
        <v>0</v>
      </c>
    </row>
    <row r="140" spans="1:2" x14ac:dyDescent="0.2">
      <c r="A140" s="13">
        <v>139</v>
      </c>
      <c r="B140" s="6">
        <v>0</v>
      </c>
    </row>
    <row r="141" spans="1:2" x14ac:dyDescent="0.2">
      <c r="A141" s="13">
        <v>140</v>
      </c>
      <c r="B141" s="6">
        <v>0</v>
      </c>
    </row>
    <row r="142" spans="1:2" x14ac:dyDescent="0.2">
      <c r="A142" s="13">
        <v>141</v>
      </c>
      <c r="B142" s="6">
        <v>0</v>
      </c>
    </row>
    <row r="143" spans="1:2" x14ac:dyDescent="0.2">
      <c r="A143" s="13">
        <v>142</v>
      </c>
      <c r="B143" s="6">
        <v>1</v>
      </c>
    </row>
    <row r="144" spans="1:2" x14ac:dyDescent="0.2">
      <c r="A144" s="13">
        <v>143</v>
      </c>
      <c r="B144" s="6">
        <v>0</v>
      </c>
    </row>
    <row r="145" spans="1:2" x14ac:dyDescent="0.2">
      <c r="A145" s="13">
        <v>144</v>
      </c>
      <c r="B145" s="6">
        <v>1</v>
      </c>
    </row>
    <row r="146" spans="1:2" x14ac:dyDescent="0.2">
      <c r="A146" s="13">
        <v>145</v>
      </c>
      <c r="B146" s="6">
        <v>0</v>
      </c>
    </row>
    <row r="147" spans="1:2" x14ac:dyDescent="0.2">
      <c r="A147" s="13">
        <v>146</v>
      </c>
      <c r="B147" s="6">
        <v>0</v>
      </c>
    </row>
    <row r="148" spans="1:2" x14ac:dyDescent="0.2">
      <c r="A148" s="13">
        <v>147</v>
      </c>
      <c r="B148" s="6">
        <v>0</v>
      </c>
    </row>
    <row r="149" spans="1:2" x14ac:dyDescent="0.2">
      <c r="A149" s="13">
        <v>148</v>
      </c>
      <c r="B149" s="6">
        <v>0</v>
      </c>
    </row>
    <row r="150" spans="1:2" x14ac:dyDescent="0.2">
      <c r="A150" s="13">
        <v>149</v>
      </c>
      <c r="B150" s="6">
        <v>0</v>
      </c>
    </row>
    <row r="151" spans="1:2" x14ac:dyDescent="0.2">
      <c r="A151" s="13">
        <v>150</v>
      </c>
      <c r="B151" s="6">
        <v>0</v>
      </c>
    </row>
    <row r="152" spans="1:2" x14ac:dyDescent="0.2">
      <c r="A152" s="13">
        <v>151</v>
      </c>
      <c r="B152" s="6">
        <v>0</v>
      </c>
    </row>
    <row r="153" spans="1:2" x14ac:dyDescent="0.2">
      <c r="A153" s="13">
        <v>152</v>
      </c>
      <c r="B153" s="6">
        <v>0</v>
      </c>
    </row>
    <row r="154" spans="1:2" x14ac:dyDescent="0.2">
      <c r="A154" s="13">
        <v>153</v>
      </c>
      <c r="B154" s="6">
        <v>0</v>
      </c>
    </row>
    <row r="155" spans="1:2" x14ac:dyDescent="0.2">
      <c r="A155" s="13">
        <v>154</v>
      </c>
      <c r="B155" s="6">
        <v>0</v>
      </c>
    </row>
    <row r="156" spans="1:2" x14ac:dyDescent="0.2">
      <c r="A156" s="13">
        <v>155</v>
      </c>
      <c r="B156" s="6">
        <v>0</v>
      </c>
    </row>
    <row r="157" spans="1:2" x14ac:dyDescent="0.2">
      <c r="A157" s="13">
        <v>156</v>
      </c>
      <c r="B157" s="6">
        <v>0</v>
      </c>
    </row>
    <row r="158" spans="1:2" x14ac:dyDescent="0.2">
      <c r="A158" s="13">
        <v>157</v>
      </c>
      <c r="B158" s="6">
        <v>0</v>
      </c>
    </row>
    <row r="159" spans="1:2" x14ac:dyDescent="0.2">
      <c r="A159" s="13">
        <v>158</v>
      </c>
      <c r="B159" s="6">
        <v>0</v>
      </c>
    </row>
    <row r="160" spans="1:2" x14ac:dyDescent="0.2">
      <c r="A160" s="13">
        <v>159</v>
      </c>
      <c r="B160" s="6">
        <v>0</v>
      </c>
    </row>
    <row r="161" spans="1:2" x14ac:dyDescent="0.2">
      <c r="A161" s="13">
        <v>160</v>
      </c>
      <c r="B161" s="6">
        <v>0</v>
      </c>
    </row>
    <row r="162" spans="1:2" x14ac:dyDescent="0.2">
      <c r="A162" s="13">
        <v>161</v>
      </c>
      <c r="B162" s="6">
        <v>1</v>
      </c>
    </row>
    <row r="163" spans="1:2" x14ac:dyDescent="0.2">
      <c r="A163" s="13">
        <v>162</v>
      </c>
      <c r="B163" s="6">
        <v>1</v>
      </c>
    </row>
    <row r="164" spans="1:2" x14ac:dyDescent="0.2">
      <c r="A164" s="13">
        <v>163</v>
      </c>
      <c r="B164" s="6">
        <v>0</v>
      </c>
    </row>
    <row r="165" spans="1:2" x14ac:dyDescent="0.2">
      <c r="A165" s="13">
        <v>164</v>
      </c>
      <c r="B165" s="6">
        <v>0</v>
      </c>
    </row>
    <row r="166" spans="1:2" x14ac:dyDescent="0.2">
      <c r="A166" s="13">
        <v>165</v>
      </c>
      <c r="B166" s="6">
        <v>1</v>
      </c>
    </row>
    <row r="167" spans="1:2" x14ac:dyDescent="0.2">
      <c r="A167" s="13">
        <v>166</v>
      </c>
      <c r="B167" s="6">
        <v>0</v>
      </c>
    </row>
    <row r="168" spans="1:2" x14ac:dyDescent="0.2">
      <c r="A168" s="13">
        <v>167</v>
      </c>
      <c r="B168" s="6">
        <v>1</v>
      </c>
    </row>
    <row r="169" spans="1:2" x14ac:dyDescent="0.2">
      <c r="A169" s="13">
        <v>168</v>
      </c>
      <c r="B169" s="6">
        <v>1</v>
      </c>
    </row>
    <row r="170" spans="1:2" x14ac:dyDescent="0.2">
      <c r="A170" s="13">
        <v>169</v>
      </c>
      <c r="B170" s="6">
        <v>1</v>
      </c>
    </row>
    <row r="171" spans="1:2" x14ac:dyDescent="0.2">
      <c r="A171" s="13">
        <v>170</v>
      </c>
      <c r="B171" s="6">
        <v>0</v>
      </c>
    </row>
    <row r="172" spans="1:2" x14ac:dyDescent="0.2">
      <c r="A172" s="13">
        <v>171</v>
      </c>
      <c r="B172" s="6">
        <v>0</v>
      </c>
    </row>
    <row r="173" spans="1:2" x14ac:dyDescent="0.2">
      <c r="A173" s="13">
        <v>172</v>
      </c>
      <c r="B173" s="6">
        <v>0</v>
      </c>
    </row>
    <row r="174" spans="1:2" x14ac:dyDescent="0.2">
      <c r="A174" s="13">
        <v>173</v>
      </c>
      <c r="B174" s="6">
        <v>0</v>
      </c>
    </row>
    <row r="175" spans="1:2" x14ac:dyDescent="0.2">
      <c r="A175" s="13">
        <v>174</v>
      </c>
      <c r="B175" s="6">
        <v>0</v>
      </c>
    </row>
    <row r="176" spans="1:2" x14ac:dyDescent="0.2">
      <c r="A176" s="13">
        <v>175</v>
      </c>
      <c r="B176" s="6">
        <v>0</v>
      </c>
    </row>
    <row r="177" spans="1:2" x14ac:dyDescent="0.2">
      <c r="A177" s="13">
        <v>176</v>
      </c>
      <c r="B177" s="6">
        <v>0</v>
      </c>
    </row>
    <row r="178" spans="1:2" x14ac:dyDescent="0.2">
      <c r="A178" s="13">
        <v>177</v>
      </c>
      <c r="B178" s="6">
        <v>1</v>
      </c>
    </row>
    <row r="179" spans="1:2" x14ac:dyDescent="0.2">
      <c r="A179" s="13">
        <v>178</v>
      </c>
      <c r="B179" s="6">
        <v>0</v>
      </c>
    </row>
    <row r="180" spans="1:2" x14ac:dyDescent="0.2">
      <c r="A180" s="13">
        <v>179</v>
      </c>
      <c r="B180" s="6">
        <v>1</v>
      </c>
    </row>
    <row r="181" spans="1:2" x14ac:dyDescent="0.2">
      <c r="A181" s="13">
        <v>180</v>
      </c>
      <c r="B181" s="6">
        <v>1</v>
      </c>
    </row>
    <row r="182" spans="1:2" x14ac:dyDescent="0.2">
      <c r="A182" s="13">
        <v>181</v>
      </c>
      <c r="B182" s="6">
        <v>0</v>
      </c>
    </row>
    <row r="183" spans="1:2" x14ac:dyDescent="0.2">
      <c r="A183" s="13">
        <v>182</v>
      </c>
      <c r="B183" s="6">
        <v>0</v>
      </c>
    </row>
    <row r="184" spans="1:2" x14ac:dyDescent="0.2">
      <c r="A184" s="13">
        <v>183</v>
      </c>
      <c r="B184" s="6">
        <v>1</v>
      </c>
    </row>
    <row r="185" spans="1:2" x14ac:dyDescent="0.2">
      <c r="A185" s="13">
        <v>184</v>
      </c>
      <c r="B185" s="6">
        <v>0</v>
      </c>
    </row>
    <row r="186" spans="1:2" x14ac:dyDescent="0.2">
      <c r="A186" s="13">
        <v>185</v>
      </c>
      <c r="B186" s="6">
        <v>0</v>
      </c>
    </row>
    <row r="187" spans="1:2" x14ac:dyDescent="0.2">
      <c r="A187" s="13">
        <v>186</v>
      </c>
      <c r="B187" s="6">
        <v>0</v>
      </c>
    </row>
    <row r="188" spans="1:2" x14ac:dyDescent="0.2">
      <c r="A188" s="13">
        <v>187</v>
      </c>
      <c r="B188" s="6">
        <v>0</v>
      </c>
    </row>
    <row r="189" spans="1:2" x14ac:dyDescent="0.2">
      <c r="A189" s="13">
        <v>188</v>
      </c>
      <c r="B189" s="6">
        <v>0</v>
      </c>
    </row>
    <row r="190" spans="1:2" x14ac:dyDescent="0.2">
      <c r="A190" s="13">
        <v>189</v>
      </c>
      <c r="B190" s="6">
        <v>0</v>
      </c>
    </row>
    <row r="191" spans="1:2" x14ac:dyDescent="0.2">
      <c r="A191" s="13">
        <v>190</v>
      </c>
      <c r="B191" s="6">
        <v>0</v>
      </c>
    </row>
    <row r="192" spans="1:2" x14ac:dyDescent="0.2">
      <c r="A192" s="13">
        <v>191</v>
      </c>
      <c r="B192" s="6">
        <v>0</v>
      </c>
    </row>
    <row r="193" spans="1:2" x14ac:dyDescent="0.2">
      <c r="A193" s="13">
        <v>192</v>
      </c>
      <c r="B193" s="6">
        <v>0</v>
      </c>
    </row>
    <row r="194" spans="1:2" x14ac:dyDescent="0.2">
      <c r="A194" s="13">
        <v>193</v>
      </c>
      <c r="B194" s="6">
        <v>0</v>
      </c>
    </row>
    <row r="195" spans="1:2" x14ac:dyDescent="0.2">
      <c r="A195" s="13">
        <v>194</v>
      </c>
      <c r="B195" s="6">
        <v>0</v>
      </c>
    </row>
    <row r="196" spans="1:2" x14ac:dyDescent="0.2">
      <c r="A196" s="13">
        <v>195</v>
      </c>
      <c r="B196" s="6">
        <v>1</v>
      </c>
    </row>
    <row r="197" spans="1:2" x14ac:dyDescent="0.2">
      <c r="A197" s="13">
        <v>196</v>
      </c>
      <c r="B197" s="6">
        <v>0</v>
      </c>
    </row>
    <row r="198" spans="1:2" x14ac:dyDescent="0.2">
      <c r="A198" s="13">
        <v>197</v>
      </c>
      <c r="B198" s="6">
        <v>0</v>
      </c>
    </row>
    <row r="199" spans="1:2" x14ac:dyDescent="0.2">
      <c r="A199" s="13">
        <v>198</v>
      </c>
      <c r="B199" s="6">
        <v>0</v>
      </c>
    </row>
    <row r="200" spans="1:2" x14ac:dyDescent="0.2">
      <c r="A200" s="13">
        <v>199</v>
      </c>
      <c r="B200" s="6">
        <v>0</v>
      </c>
    </row>
    <row r="201" spans="1:2" x14ac:dyDescent="0.2">
      <c r="A201" s="13">
        <v>200</v>
      </c>
      <c r="B201" s="6">
        <v>0</v>
      </c>
    </row>
    <row r="202" spans="1:2" x14ac:dyDescent="0.2">
      <c r="A202" s="13">
        <v>201</v>
      </c>
      <c r="B202" s="6">
        <v>1</v>
      </c>
    </row>
    <row r="203" spans="1:2" x14ac:dyDescent="0.2">
      <c r="A203" s="13">
        <v>202</v>
      </c>
      <c r="B203" s="6">
        <v>0</v>
      </c>
    </row>
    <row r="204" spans="1:2" x14ac:dyDescent="0.2">
      <c r="A204" s="13">
        <v>203</v>
      </c>
      <c r="B204" s="6">
        <v>1</v>
      </c>
    </row>
    <row r="205" spans="1:2" x14ac:dyDescent="0.2">
      <c r="A205" s="13">
        <v>204</v>
      </c>
      <c r="B205" s="6">
        <v>0</v>
      </c>
    </row>
    <row r="206" spans="1:2" x14ac:dyDescent="0.2">
      <c r="A206" s="13">
        <v>205</v>
      </c>
      <c r="B206" s="6">
        <v>0</v>
      </c>
    </row>
    <row r="207" spans="1:2" x14ac:dyDescent="0.2">
      <c r="A207" s="13">
        <v>206</v>
      </c>
      <c r="B207" s="6">
        <v>0</v>
      </c>
    </row>
    <row r="208" spans="1:2" x14ac:dyDescent="0.2">
      <c r="A208" s="13">
        <v>207</v>
      </c>
      <c r="B208" s="6">
        <v>1</v>
      </c>
    </row>
    <row r="209" spans="1:2" x14ac:dyDescent="0.2">
      <c r="A209" s="13">
        <v>208</v>
      </c>
      <c r="B209" s="6">
        <v>0</v>
      </c>
    </row>
    <row r="210" spans="1:2" x14ac:dyDescent="0.2">
      <c r="A210" s="13">
        <v>209</v>
      </c>
      <c r="B210" s="6">
        <v>0</v>
      </c>
    </row>
    <row r="211" spans="1:2" x14ac:dyDescent="0.2">
      <c r="A211" s="13">
        <v>210</v>
      </c>
      <c r="B211" s="6">
        <v>0</v>
      </c>
    </row>
    <row r="212" spans="1:2" x14ac:dyDescent="0.2">
      <c r="A212" s="13">
        <v>211</v>
      </c>
      <c r="B212" s="6">
        <v>0</v>
      </c>
    </row>
    <row r="213" spans="1:2" x14ac:dyDescent="0.2">
      <c r="A213" s="13">
        <v>212</v>
      </c>
      <c r="B213" s="6">
        <v>0</v>
      </c>
    </row>
    <row r="214" spans="1:2" x14ac:dyDescent="0.2">
      <c r="A214" s="13">
        <v>213</v>
      </c>
      <c r="B214" s="6">
        <v>0</v>
      </c>
    </row>
    <row r="215" spans="1:2" x14ac:dyDescent="0.2">
      <c r="A215" s="13">
        <v>214</v>
      </c>
      <c r="B215" s="6">
        <v>0</v>
      </c>
    </row>
    <row r="216" spans="1:2" x14ac:dyDescent="0.2">
      <c r="A216" s="13">
        <v>215</v>
      </c>
      <c r="B216" s="6">
        <v>0</v>
      </c>
    </row>
    <row r="217" spans="1:2" x14ac:dyDescent="0.2">
      <c r="A217" s="13">
        <v>216</v>
      </c>
      <c r="B217" s="6">
        <v>0</v>
      </c>
    </row>
    <row r="218" spans="1:2" x14ac:dyDescent="0.2">
      <c r="A218" s="13">
        <v>217</v>
      </c>
      <c r="B218" s="6">
        <v>1</v>
      </c>
    </row>
    <row r="219" spans="1:2" x14ac:dyDescent="0.2">
      <c r="A219" s="13">
        <v>218</v>
      </c>
      <c r="B219" s="6">
        <v>1</v>
      </c>
    </row>
    <row r="220" spans="1:2" x14ac:dyDescent="0.2">
      <c r="A220" s="13">
        <v>219</v>
      </c>
      <c r="B220" s="6">
        <v>1</v>
      </c>
    </row>
    <row r="221" spans="1:2" x14ac:dyDescent="0.2">
      <c r="A221" s="13">
        <v>220</v>
      </c>
      <c r="B221" s="6">
        <v>0</v>
      </c>
    </row>
    <row r="222" spans="1:2" x14ac:dyDescent="0.2">
      <c r="A222" s="13">
        <v>221</v>
      </c>
      <c r="B222" s="6">
        <v>0</v>
      </c>
    </row>
    <row r="223" spans="1:2" x14ac:dyDescent="0.2">
      <c r="A223" s="13">
        <v>222</v>
      </c>
      <c r="B223" s="6">
        <v>0</v>
      </c>
    </row>
    <row r="224" spans="1:2" x14ac:dyDescent="0.2">
      <c r="A224" s="13">
        <v>223</v>
      </c>
      <c r="B224" s="6">
        <v>0</v>
      </c>
    </row>
    <row r="225" spans="1:2" x14ac:dyDescent="0.2">
      <c r="A225" s="13">
        <v>224</v>
      </c>
      <c r="B225" s="6">
        <v>0</v>
      </c>
    </row>
    <row r="226" spans="1:2" x14ac:dyDescent="0.2">
      <c r="A226" s="13">
        <v>225</v>
      </c>
      <c r="B226" s="6">
        <v>0</v>
      </c>
    </row>
    <row r="227" spans="1:2" x14ac:dyDescent="0.2">
      <c r="A227" s="13">
        <v>226</v>
      </c>
      <c r="B227" s="6">
        <v>0</v>
      </c>
    </row>
    <row r="228" spans="1:2" x14ac:dyDescent="0.2">
      <c r="A228" s="13">
        <v>227</v>
      </c>
      <c r="B228" s="6">
        <v>0</v>
      </c>
    </row>
    <row r="229" spans="1:2" x14ac:dyDescent="0.2">
      <c r="A229" s="13">
        <v>228</v>
      </c>
      <c r="B229" s="6">
        <v>1</v>
      </c>
    </row>
    <row r="230" spans="1:2" x14ac:dyDescent="0.2">
      <c r="A230" s="13">
        <v>229</v>
      </c>
      <c r="B230" s="6">
        <v>0</v>
      </c>
    </row>
    <row r="231" spans="1:2" x14ac:dyDescent="0.2">
      <c r="A231" s="13">
        <v>230</v>
      </c>
      <c r="B231" s="6">
        <v>0</v>
      </c>
    </row>
    <row r="232" spans="1:2" x14ac:dyDescent="0.2">
      <c r="A232" s="13">
        <v>231</v>
      </c>
      <c r="B232" s="6">
        <v>0</v>
      </c>
    </row>
    <row r="233" spans="1:2" x14ac:dyDescent="0.2">
      <c r="A233" s="13">
        <v>232</v>
      </c>
      <c r="B233" s="6">
        <v>0</v>
      </c>
    </row>
    <row r="234" spans="1:2" x14ac:dyDescent="0.2">
      <c r="A234" s="13">
        <v>233</v>
      </c>
      <c r="B234" s="6">
        <v>0</v>
      </c>
    </row>
    <row r="235" spans="1:2" x14ac:dyDescent="0.2">
      <c r="A235" s="13">
        <v>234</v>
      </c>
      <c r="B235" s="6">
        <v>1</v>
      </c>
    </row>
    <row r="236" spans="1:2" x14ac:dyDescent="0.2">
      <c r="A236" s="13">
        <v>235</v>
      </c>
      <c r="B236" s="6">
        <v>1</v>
      </c>
    </row>
    <row r="237" spans="1:2" x14ac:dyDescent="0.2">
      <c r="A237" s="13">
        <v>236</v>
      </c>
      <c r="B237" s="6">
        <v>0</v>
      </c>
    </row>
    <row r="238" spans="1:2" x14ac:dyDescent="0.2">
      <c r="A238" s="13">
        <v>237</v>
      </c>
      <c r="B238" s="6">
        <v>1</v>
      </c>
    </row>
    <row r="239" spans="1:2" x14ac:dyDescent="0.2">
      <c r="A239" s="13">
        <v>238</v>
      </c>
      <c r="B239" s="6">
        <v>1</v>
      </c>
    </row>
    <row r="240" spans="1:2" x14ac:dyDescent="0.2">
      <c r="A240" s="13">
        <v>239</v>
      </c>
      <c r="B240" s="6">
        <v>1</v>
      </c>
    </row>
    <row r="241" spans="1:2" x14ac:dyDescent="0.2">
      <c r="A241" s="13">
        <v>240</v>
      </c>
      <c r="B241" s="6">
        <v>1</v>
      </c>
    </row>
    <row r="242" spans="1:2" x14ac:dyDescent="0.2">
      <c r="A242" s="13">
        <v>241</v>
      </c>
      <c r="B242" s="6">
        <v>0</v>
      </c>
    </row>
    <row r="243" spans="1:2" x14ac:dyDescent="0.2">
      <c r="A243" s="13">
        <v>242</v>
      </c>
      <c r="B243" s="6">
        <v>0</v>
      </c>
    </row>
    <row r="244" spans="1:2" x14ac:dyDescent="0.2">
      <c r="A244" s="13">
        <v>243</v>
      </c>
      <c r="B244" s="6">
        <v>0</v>
      </c>
    </row>
    <row r="245" spans="1:2" x14ac:dyDescent="0.2">
      <c r="A245" s="13">
        <v>244</v>
      </c>
      <c r="B245" s="6">
        <v>0</v>
      </c>
    </row>
    <row r="246" spans="1:2" x14ac:dyDescent="0.2">
      <c r="A246" s="13">
        <v>245</v>
      </c>
      <c r="B246" s="6">
        <v>1</v>
      </c>
    </row>
    <row r="247" spans="1:2" x14ac:dyDescent="0.2">
      <c r="A247" s="13">
        <v>246</v>
      </c>
      <c r="B247" s="6">
        <v>0</v>
      </c>
    </row>
    <row r="248" spans="1:2" x14ac:dyDescent="0.2">
      <c r="A248" s="13">
        <v>247</v>
      </c>
      <c r="B248" s="6">
        <v>0</v>
      </c>
    </row>
    <row r="249" spans="1:2" x14ac:dyDescent="0.2">
      <c r="A249" s="13">
        <v>248</v>
      </c>
      <c r="B249" s="6">
        <v>1</v>
      </c>
    </row>
    <row r="250" spans="1:2" x14ac:dyDescent="0.2">
      <c r="A250" s="13">
        <v>249</v>
      </c>
      <c r="B250" s="6">
        <v>1</v>
      </c>
    </row>
    <row r="251" spans="1:2" x14ac:dyDescent="0.2">
      <c r="A251" s="13">
        <v>250</v>
      </c>
      <c r="B251" s="6">
        <v>1</v>
      </c>
    </row>
    <row r="252" spans="1:2" x14ac:dyDescent="0.2">
      <c r="A252" s="13">
        <v>251</v>
      </c>
      <c r="B252" s="6">
        <v>0</v>
      </c>
    </row>
    <row r="253" spans="1:2" x14ac:dyDescent="0.2">
      <c r="A253" s="13">
        <v>252</v>
      </c>
      <c r="B253" s="6">
        <v>0</v>
      </c>
    </row>
    <row r="254" spans="1:2" x14ac:dyDescent="0.2">
      <c r="A254" s="13">
        <v>253</v>
      </c>
      <c r="B254" s="6">
        <v>0</v>
      </c>
    </row>
    <row r="255" spans="1:2" x14ac:dyDescent="0.2">
      <c r="A255" s="13">
        <v>254</v>
      </c>
      <c r="B255" s="6">
        <v>0</v>
      </c>
    </row>
    <row r="256" spans="1:2" x14ac:dyDescent="0.2">
      <c r="A256" s="13">
        <v>255</v>
      </c>
      <c r="B256" s="6">
        <v>0</v>
      </c>
    </row>
    <row r="257" spans="1:2" x14ac:dyDescent="0.2">
      <c r="A257" s="13">
        <v>256</v>
      </c>
      <c r="B257" s="6">
        <v>0</v>
      </c>
    </row>
    <row r="258" spans="1:2" x14ac:dyDescent="0.2">
      <c r="A258" s="13">
        <v>257</v>
      </c>
      <c r="B258" s="6">
        <v>1</v>
      </c>
    </row>
    <row r="259" spans="1:2" x14ac:dyDescent="0.2">
      <c r="A259" s="13">
        <v>258</v>
      </c>
      <c r="B259" s="6">
        <v>0</v>
      </c>
    </row>
    <row r="260" spans="1:2" x14ac:dyDescent="0.2">
      <c r="A260" s="13">
        <v>259</v>
      </c>
      <c r="B260" s="6">
        <v>0</v>
      </c>
    </row>
    <row r="261" spans="1:2" x14ac:dyDescent="0.2">
      <c r="A261" s="13">
        <v>260</v>
      </c>
      <c r="B261" s="6">
        <v>0</v>
      </c>
    </row>
    <row r="262" spans="1:2" x14ac:dyDescent="0.2">
      <c r="A262" s="13">
        <v>261</v>
      </c>
      <c r="B262" s="6">
        <v>0</v>
      </c>
    </row>
    <row r="263" spans="1:2" x14ac:dyDescent="0.2">
      <c r="A263" s="13">
        <v>262</v>
      </c>
      <c r="B263" s="6">
        <v>0</v>
      </c>
    </row>
    <row r="264" spans="1:2" x14ac:dyDescent="0.2">
      <c r="A264" s="13">
        <v>263</v>
      </c>
      <c r="B264" s="6">
        <v>1</v>
      </c>
    </row>
    <row r="265" spans="1:2" x14ac:dyDescent="0.2">
      <c r="A265" s="13">
        <v>264</v>
      </c>
      <c r="B265" s="6">
        <v>0</v>
      </c>
    </row>
    <row r="266" spans="1:2" x14ac:dyDescent="0.2">
      <c r="A266" s="13">
        <v>265</v>
      </c>
      <c r="B266" s="6">
        <v>1</v>
      </c>
    </row>
    <row r="267" spans="1:2" x14ac:dyDescent="0.2">
      <c r="A267" s="13">
        <v>266</v>
      </c>
      <c r="B267" s="6">
        <v>0</v>
      </c>
    </row>
    <row r="268" spans="1:2" x14ac:dyDescent="0.2">
      <c r="A268" s="13">
        <v>267</v>
      </c>
      <c r="B268" s="6">
        <v>1</v>
      </c>
    </row>
    <row r="269" spans="1:2" x14ac:dyDescent="0.2">
      <c r="A269" s="13">
        <v>268</v>
      </c>
      <c r="B269" s="6">
        <v>0</v>
      </c>
    </row>
    <row r="270" spans="1:2" x14ac:dyDescent="0.2">
      <c r="A270" s="13">
        <v>269</v>
      </c>
      <c r="B270" s="6">
        <v>0</v>
      </c>
    </row>
    <row r="271" spans="1:2" x14ac:dyDescent="0.2">
      <c r="A271" s="13">
        <v>270</v>
      </c>
      <c r="B271" s="6">
        <v>0</v>
      </c>
    </row>
    <row r="272" spans="1:2" x14ac:dyDescent="0.2">
      <c r="A272" s="13">
        <v>271</v>
      </c>
      <c r="B272" s="6">
        <v>1</v>
      </c>
    </row>
    <row r="273" spans="1:2" x14ac:dyDescent="0.2">
      <c r="A273" s="13">
        <v>272</v>
      </c>
      <c r="B273" s="6">
        <v>0</v>
      </c>
    </row>
    <row r="274" spans="1:2" x14ac:dyDescent="0.2">
      <c r="A274" s="13">
        <v>273</v>
      </c>
      <c r="B274" s="6">
        <v>0</v>
      </c>
    </row>
    <row r="275" spans="1:2" x14ac:dyDescent="0.2">
      <c r="A275" s="13">
        <v>274</v>
      </c>
      <c r="B275" s="6">
        <v>1</v>
      </c>
    </row>
    <row r="276" spans="1:2" x14ac:dyDescent="0.2">
      <c r="A276" s="13">
        <v>275</v>
      </c>
      <c r="B276" s="6">
        <v>1</v>
      </c>
    </row>
    <row r="277" spans="1:2" x14ac:dyDescent="0.2">
      <c r="A277" s="13">
        <v>276</v>
      </c>
      <c r="B277" s="6">
        <v>0</v>
      </c>
    </row>
    <row r="278" spans="1:2" x14ac:dyDescent="0.2">
      <c r="A278" s="13">
        <v>277</v>
      </c>
      <c r="B278" s="6">
        <v>0</v>
      </c>
    </row>
    <row r="279" spans="1:2" x14ac:dyDescent="0.2">
      <c r="A279" s="13">
        <v>278</v>
      </c>
      <c r="B279" s="6">
        <v>0</v>
      </c>
    </row>
    <row r="280" spans="1:2" x14ac:dyDescent="0.2">
      <c r="A280" s="13">
        <v>279</v>
      </c>
      <c r="B280" s="6">
        <v>0</v>
      </c>
    </row>
    <row r="281" spans="1:2" x14ac:dyDescent="0.2">
      <c r="A281" s="13">
        <v>280</v>
      </c>
      <c r="B281" s="6">
        <v>0</v>
      </c>
    </row>
    <row r="282" spans="1:2" x14ac:dyDescent="0.2">
      <c r="A282" s="13">
        <v>281</v>
      </c>
      <c r="B282" s="6">
        <v>1</v>
      </c>
    </row>
    <row r="283" spans="1:2" x14ac:dyDescent="0.2">
      <c r="A283" s="13">
        <v>282</v>
      </c>
      <c r="B283" s="6">
        <v>1</v>
      </c>
    </row>
    <row r="284" spans="1:2" x14ac:dyDescent="0.2">
      <c r="A284" s="13">
        <v>283</v>
      </c>
      <c r="B284" s="6">
        <v>0</v>
      </c>
    </row>
    <row r="285" spans="1:2" x14ac:dyDescent="0.2">
      <c r="A285" s="13">
        <v>284</v>
      </c>
      <c r="B285" s="6">
        <v>0</v>
      </c>
    </row>
    <row r="286" spans="1:2" x14ac:dyDescent="0.2">
      <c r="A286" s="13">
        <v>285</v>
      </c>
      <c r="B286" s="6">
        <v>0</v>
      </c>
    </row>
    <row r="287" spans="1:2" x14ac:dyDescent="0.2">
      <c r="A287" s="13">
        <v>286</v>
      </c>
      <c r="B287" s="6">
        <v>1</v>
      </c>
    </row>
    <row r="288" spans="1:2" x14ac:dyDescent="0.2">
      <c r="A288" s="13">
        <v>287</v>
      </c>
      <c r="B288" s="6">
        <v>1</v>
      </c>
    </row>
    <row r="289" spans="1:2" x14ac:dyDescent="0.2">
      <c r="A289" s="13">
        <v>288</v>
      </c>
      <c r="B289" s="6">
        <v>0</v>
      </c>
    </row>
    <row r="290" spans="1:2" x14ac:dyDescent="0.2">
      <c r="A290" s="13">
        <v>289</v>
      </c>
      <c r="B290" s="6">
        <v>1</v>
      </c>
    </row>
    <row r="291" spans="1:2" x14ac:dyDescent="0.2">
      <c r="A291" s="13">
        <v>290</v>
      </c>
      <c r="B291" s="6">
        <v>0</v>
      </c>
    </row>
    <row r="292" spans="1:2" x14ac:dyDescent="0.2">
      <c r="A292" s="13">
        <v>291</v>
      </c>
      <c r="B292" s="6">
        <v>0</v>
      </c>
    </row>
    <row r="293" spans="1:2" x14ac:dyDescent="0.2">
      <c r="A293" s="13">
        <v>292</v>
      </c>
      <c r="B293" s="6">
        <v>0</v>
      </c>
    </row>
    <row r="294" spans="1:2" x14ac:dyDescent="0.2">
      <c r="A294" s="13">
        <v>293</v>
      </c>
      <c r="B294" s="6">
        <v>0</v>
      </c>
    </row>
    <row r="295" spans="1:2" x14ac:dyDescent="0.2">
      <c r="A295" s="13">
        <v>294</v>
      </c>
      <c r="B295" s="6">
        <v>0</v>
      </c>
    </row>
    <row r="296" spans="1:2" x14ac:dyDescent="0.2">
      <c r="A296" s="13">
        <v>295</v>
      </c>
      <c r="B296" s="6">
        <v>0</v>
      </c>
    </row>
    <row r="297" spans="1:2" x14ac:dyDescent="0.2">
      <c r="A297" s="13">
        <v>296</v>
      </c>
      <c r="B297" s="6">
        <v>0</v>
      </c>
    </row>
    <row r="298" spans="1:2" x14ac:dyDescent="0.2">
      <c r="A298" s="13">
        <v>297</v>
      </c>
      <c r="B298" s="6">
        <v>1</v>
      </c>
    </row>
    <row r="299" spans="1:2" x14ac:dyDescent="0.2">
      <c r="A299" s="13">
        <v>298</v>
      </c>
      <c r="B299" s="6">
        <v>0</v>
      </c>
    </row>
    <row r="300" spans="1:2" x14ac:dyDescent="0.2">
      <c r="A300" s="13">
        <v>299</v>
      </c>
      <c r="B300" s="6">
        <v>0</v>
      </c>
    </row>
    <row r="301" spans="1:2" x14ac:dyDescent="0.2">
      <c r="A301" s="13">
        <v>300</v>
      </c>
      <c r="B301" s="6">
        <v>0</v>
      </c>
    </row>
    <row r="302" spans="1:2" x14ac:dyDescent="0.2">
      <c r="A302" s="13">
        <v>301</v>
      </c>
      <c r="B302" s="6">
        <v>0</v>
      </c>
    </row>
    <row r="303" spans="1:2" x14ac:dyDescent="0.2">
      <c r="A303" s="13">
        <v>302</v>
      </c>
      <c r="B303" s="6">
        <v>0</v>
      </c>
    </row>
    <row r="304" spans="1:2" x14ac:dyDescent="0.2">
      <c r="A304" s="13">
        <v>303</v>
      </c>
      <c r="B304" s="6">
        <v>0</v>
      </c>
    </row>
    <row r="305" spans="1:2" x14ac:dyDescent="0.2">
      <c r="A305" s="13">
        <v>304</v>
      </c>
      <c r="B305" s="6">
        <v>0</v>
      </c>
    </row>
    <row r="306" spans="1:2" x14ac:dyDescent="0.2">
      <c r="A306" s="13">
        <v>305</v>
      </c>
      <c r="B306" s="6">
        <v>0</v>
      </c>
    </row>
    <row r="307" spans="1:2" x14ac:dyDescent="0.2">
      <c r="A307" s="13">
        <v>306</v>
      </c>
      <c r="B307" s="6">
        <v>0</v>
      </c>
    </row>
    <row r="308" spans="1:2" x14ac:dyDescent="0.2">
      <c r="A308" s="13">
        <v>307</v>
      </c>
      <c r="B308" s="6">
        <v>0</v>
      </c>
    </row>
    <row r="309" spans="1:2" x14ac:dyDescent="0.2">
      <c r="A309" s="13">
        <v>308</v>
      </c>
      <c r="B309" s="6">
        <v>0</v>
      </c>
    </row>
    <row r="310" spans="1:2" x14ac:dyDescent="0.2">
      <c r="A310" s="13">
        <v>309</v>
      </c>
      <c r="B310" s="6">
        <v>0</v>
      </c>
    </row>
    <row r="311" spans="1:2" x14ac:dyDescent="0.2">
      <c r="A311" s="13">
        <v>310</v>
      </c>
      <c r="B311" s="6">
        <v>0</v>
      </c>
    </row>
    <row r="312" spans="1:2" x14ac:dyDescent="0.2">
      <c r="A312" s="13">
        <v>311</v>
      </c>
      <c r="B312" s="6">
        <v>1</v>
      </c>
    </row>
    <row r="313" spans="1:2" x14ac:dyDescent="0.2">
      <c r="A313" s="13">
        <v>312</v>
      </c>
      <c r="B313" s="6">
        <v>0</v>
      </c>
    </row>
    <row r="314" spans="1:2" x14ac:dyDescent="0.2">
      <c r="A314" s="13">
        <v>313</v>
      </c>
      <c r="B314" s="6">
        <v>0</v>
      </c>
    </row>
    <row r="315" spans="1:2" x14ac:dyDescent="0.2">
      <c r="A315" s="13">
        <v>314</v>
      </c>
      <c r="B315" s="6">
        <v>1</v>
      </c>
    </row>
    <row r="316" spans="1:2" x14ac:dyDescent="0.2">
      <c r="A316" s="13">
        <v>315</v>
      </c>
      <c r="B316" s="6">
        <v>0</v>
      </c>
    </row>
    <row r="317" spans="1:2" x14ac:dyDescent="0.2">
      <c r="A317" s="13">
        <v>316</v>
      </c>
      <c r="B317" s="6">
        <v>0</v>
      </c>
    </row>
    <row r="318" spans="1:2" x14ac:dyDescent="0.2">
      <c r="A318" s="13">
        <v>317</v>
      </c>
      <c r="B318" s="6">
        <v>1</v>
      </c>
    </row>
    <row r="319" spans="1:2" x14ac:dyDescent="0.2">
      <c r="A319" s="13">
        <v>318</v>
      </c>
      <c r="B319" s="6">
        <v>1</v>
      </c>
    </row>
    <row r="320" spans="1:2" x14ac:dyDescent="0.2">
      <c r="A320" s="13">
        <v>319</v>
      </c>
      <c r="B320" s="6">
        <v>1</v>
      </c>
    </row>
    <row r="321" spans="1:2" x14ac:dyDescent="0.2">
      <c r="A321" s="13">
        <v>320</v>
      </c>
      <c r="B321" s="6">
        <v>0</v>
      </c>
    </row>
    <row r="322" spans="1:2" x14ac:dyDescent="0.2">
      <c r="A322" s="13">
        <v>321</v>
      </c>
      <c r="B322" s="6">
        <v>0</v>
      </c>
    </row>
    <row r="323" spans="1:2" x14ac:dyDescent="0.2">
      <c r="A323" s="13">
        <v>322</v>
      </c>
      <c r="B323" s="6">
        <v>0</v>
      </c>
    </row>
    <row r="324" spans="1:2" x14ac:dyDescent="0.2">
      <c r="A324" s="13">
        <v>323</v>
      </c>
      <c r="B324" s="6">
        <v>0</v>
      </c>
    </row>
    <row r="325" spans="1:2" x14ac:dyDescent="0.2">
      <c r="A325" s="13">
        <v>324</v>
      </c>
      <c r="B325" s="6">
        <v>0</v>
      </c>
    </row>
    <row r="326" spans="1:2" x14ac:dyDescent="0.2">
      <c r="A326" s="13">
        <v>325</v>
      </c>
      <c r="B326" s="6">
        <v>0</v>
      </c>
    </row>
    <row r="327" spans="1:2" x14ac:dyDescent="0.2">
      <c r="A327" s="13">
        <v>326</v>
      </c>
      <c r="B327" s="6">
        <v>1</v>
      </c>
    </row>
    <row r="328" spans="1:2" x14ac:dyDescent="0.2">
      <c r="A328" s="13">
        <v>327</v>
      </c>
      <c r="B328" s="6">
        <v>0</v>
      </c>
    </row>
    <row r="329" spans="1:2" x14ac:dyDescent="0.2">
      <c r="A329" s="13">
        <v>328</v>
      </c>
      <c r="B329" s="6">
        <v>0</v>
      </c>
    </row>
    <row r="330" spans="1:2" x14ac:dyDescent="0.2">
      <c r="A330" s="13">
        <v>329</v>
      </c>
      <c r="B330" s="6">
        <v>0</v>
      </c>
    </row>
    <row r="331" spans="1:2" x14ac:dyDescent="0.2">
      <c r="A331" s="13">
        <v>330</v>
      </c>
      <c r="B331" s="6">
        <v>0</v>
      </c>
    </row>
    <row r="332" spans="1:2" x14ac:dyDescent="0.2">
      <c r="A332" s="13">
        <v>331</v>
      </c>
      <c r="B332" s="6">
        <v>0</v>
      </c>
    </row>
    <row r="333" spans="1:2" x14ac:dyDescent="0.2">
      <c r="A333" s="13">
        <v>332</v>
      </c>
      <c r="B333" s="6">
        <v>0</v>
      </c>
    </row>
    <row r="334" spans="1:2" x14ac:dyDescent="0.2">
      <c r="A334" s="13">
        <v>333</v>
      </c>
      <c r="B334" s="6">
        <v>0</v>
      </c>
    </row>
    <row r="335" spans="1:2" x14ac:dyDescent="0.2">
      <c r="A335" s="13">
        <v>334</v>
      </c>
      <c r="B335" s="6">
        <v>0</v>
      </c>
    </row>
    <row r="336" spans="1:2" x14ac:dyDescent="0.2">
      <c r="A336" s="13">
        <v>335</v>
      </c>
      <c r="B336" s="6">
        <v>1</v>
      </c>
    </row>
    <row r="337" spans="1:2" x14ac:dyDescent="0.2">
      <c r="A337" s="13">
        <v>336</v>
      </c>
      <c r="B337" s="6">
        <v>1</v>
      </c>
    </row>
    <row r="338" spans="1:2" x14ac:dyDescent="0.2">
      <c r="A338" s="13">
        <v>337</v>
      </c>
      <c r="B338" s="6">
        <v>0</v>
      </c>
    </row>
    <row r="339" spans="1:2" x14ac:dyDescent="0.2">
      <c r="A339" s="13">
        <v>338</v>
      </c>
      <c r="B339" s="6">
        <v>0</v>
      </c>
    </row>
    <row r="340" spans="1:2" x14ac:dyDescent="0.2">
      <c r="A340" s="13">
        <v>339</v>
      </c>
      <c r="B340" s="6">
        <v>1</v>
      </c>
    </row>
    <row r="341" spans="1:2" x14ac:dyDescent="0.2">
      <c r="A341" s="13">
        <v>340</v>
      </c>
      <c r="B341" s="6">
        <v>1</v>
      </c>
    </row>
    <row r="342" spans="1:2" x14ac:dyDescent="0.2">
      <c r="A342" s="13">
        <v>341</v>
      </c>
      <c r="B342" s="6">
        <v>0</v>
      </c>
    </row>
    <row r="343" spans="1:2" x14ac:dyDescent="0.2">
      <c r="A343" s="13">
        <v>342</v>
      </c>
      <c r="B343" s="6">
        <v>0</v>
      </c>
    </row>
    <row r="344" spans="1:2" x14ac:dyDescent="0.2">
      <c r="A344" s="13">
        <v>343</v>
      </c>
      <c r="B344" s="6">
        <v>0</v>
      </c>
    </row>
    <row r="345" spans="1:2" x14ac:dyDescent="0.2">
      <c r="A345" s="13">
        <v>344</v>
      </c>
      <c r="B345" s="6">
        <v>1</v>
      </c>
    </row>
    <row r="346" spans="1:2" x14ac:dyDescent="0.2">
      <c r="A346" s="13">
        <v>345</v>
      </c>
      <c r="B346" s="6">
        <v>1</v>
      </c>
    </row>
    <row r="347" spans="1:2" x14ac:dyDescent="0.2">
      <c r="A347" s="13">
        <v>346</v>
      </c>
      <c r="B347" s="6">
        <v>0</v>
      </c>
    </row>
    <row r="348" spans="1:2" x14ac:dyDescent="0.2">
      <c r="A348" s="13">
        <v>347</v>
      </c>
      <c r="B348" s="6">
        <v>1</v>
      </c>
    </row>
    <row r="349" spans="1:2" x14ac:dyDescent="0.2">
      <c r="A349" s="13">
        <v>348</v>
      </c>
      <c r="B349" s="6">
        <v>0</v>
      </c>
    </row>
    <row r="350" spans="1:2" x14ac:dyDescent="0.2">
      <c r="A350" s="13">
        <v>349</v>
      </c>
      <c r="B350" s="6">
        <v>1</v>
      </c>
    </row>
    <row r="351" spans="1:2" x14ac:dyDescent="0.2">
      <c r="A351" s="13">
        <v>350</v>
      </c>
      <c r="B351" s="6">
        <v>0</v>
      </c>
    </row>
    <row r="352" spans="1:2" x14ac:dyDescent="0.2">
      <c r="A352" s="13">
        <v>351</v>
      </c>
      <c r="B352" s="6">
        <v>1</v>
      </c>
    </row>
    <row r="353" spans="1:2" x14ac:dyDescent="0.2">
      <c r="A353" s="13">
        <v>352</v>
      </c>
      <c r="B353" s="6">
        <v>0</v>
      </c>
    </row>
    <row r="354" spans="1:2" x14ac:dyDescent="0.2">
      <c r="A354" s="13">
        <v>353</v>
      </c>
      <c r="B354" s="6">
        <v>0</v>
      </c>
    </row>
    <row r="355" spans="1:2" x14ac:dyDescent="0.2">
      <c r="A355" s="13">
        <v>354</v>
      </c>
      <c r="B355" s="6">
        <v>0</v>
      </c>
    </row>
    <row r="356" spans="1:2" x14ac:dyDescent="0.2">
      <c r="A356" s="13">
        <v>355</v>
      </c>
      <c r="B356" s="6">
        <v>1</v>
      </c>
    </row>
    <row r="357" spans="1:2" x14ac:dyDescent="0.2">
      <c r="A357" s="13">
        <v>356</v>
      </c>
      <c r="B357" s="6">
        <v>1</v>
      </c>
    </row>
    <row r="358" spans="1:2" x14ac:dyDescent="0.2">
      <c r="A358" s="13">
        <v>357</v>
      </c>
      <c r="B358" s="6">
        <v>1</v>
      </c>
    </row>
    <row r="359" spans="1:2" x14ac:dyDescent="0.2">
      <c r="A359" s="13">
        <v>358</v>
      </c>
      <c r="B359" s="6">
        <v>1</v>
      </c>
    </row>
    <row r="360" spans="1:2" x14ac:dyDescent="0.2">
      <c r="A360" s="13">
        <v>359</v>
      </c>
      <c r="B360" s="6">
        <v>0</v>
      </c>
    </row>
    <row r="361" spans="1:2" x14ac:dyDescent="0.2">
      <c r="A361" s="13">
        <v>360</v>
      </c>
      <c r="B361" s="6">
        <v>0</v>
      </c>
    </row>
    <row r="362" spans="1:2" x14ac:dyDescent="0.2">
      <c r="A362" s="13">
        <v>361</v>
      </c>
      <c r="B362" s="6">
        <v>0</v>
      </c>
    </row>
    <row r="363" spans="1:2" x14ac:dyDescent="0.2">
      <c r="A363" s="13">
        <v>362</v>
      </c>
      <c r="B363" s="6">
        <v>0</v>
      </c>
    </row>
    <row r="364" spans="1:2" x14ac:dyDescent="0.2">
      <c r="A364" s="13">
        <v>363</v>
      </c>
      <c r="B364" s="6">
        <v>0</v>
      </c>
    </row>
    <row r="365" spans="1:2" x14ac:dyDescent="0.2">
      <c r="A365" s="13">
        <v>364</v>
      </c>
      <c r="B365" s="6">
        <v>0</v>
      </c>
    </row>
    <row r="366" spans="1:2" x14ac:dyDescent="0.2">
      <c r="A366" s="13">
        <v>365</v>
      </c>
      <c r="B366" s="6">
        <v>0</v>
      </c>
    </row>
    <row r="367" spans="1:2" x14ac:dyDescent="0.2">
      <c r="A367" s="13">
        <v>366</v>
      </c>
      <c r="B367" s="6">
        <v>0</v>
      </c>
    </row>
    <row r="368" spans="1:2" x14ac:dyDescent="0.2">
      <c r="A368" s="13">
        <v>367</v>
      </c>
      <c r="B368" s="6">
        <v>0</v>
      </c>
    </row>
    <row r="369" spans="1:2" x14ac:dyDescent="0.2">
      <c r="A369" s="13">
        <v>368</v>
      </c>
      <c r="B369" s="6">
        <v>0</v>
      </c>
    </row>
    <row r="370" spans="1:2" x14ac:dyDescent="0.2">
      <c r="A370" s="13">
        <v>369</v>
      </c>
      <c r="B370" s="6">
        <v>1</v>
      </c>
    </row>
    <row r="371" spans="1:2" x14ac:dyDescent="0.2">
      <c r="A371" s="13">
        <v>370</v>
      </c>
      <c r="B371" s="6">
        <v>1</v>
      </c>
    </row>
    <row r="372" spans="1:2" x14ac:dyDescent="0.2">
      <c r="A372" s="13">
        <v>371</v>
      </c>
      <c r="B372" s="6">
        <v>1</v>
      </c>
    </row>
    <row r="373" spans="1:2" x14ac:dyDescent="0.2">
      <c r="A373" s="13">
        <v>372</v>
      </c>
      <c r="B373" s="6">
        <v>0</v>
      </c>
    </row>
    <row r="374" spans="1:2" x14ac:dyDescent="0.2">
      <c r="A374" s="13">
        <v>373</v>
      </c>
      <c r="B374" s="6">
        <v>0</v>
      </c>
    </row>
    <row r="375" spans="1:2" x14ac:dyDescent="0.2">
      <c r="A375" s="13">
        <v>374</v>
      </c>
      <c r="B375" s="6">
        <v>1</v>
      </c>
    </row>
    <row r="376" spans="1:2" x14ac:dyDescent="0.2">
      <c r="A376" s="13">
        <v>375</v>
      </c>
      <c r="B376" s="6">
        <v>0</v>
      </c>
    </row>
    <row r="377" spans="1:2" x14ac:dyDescent="0.2">
      <c r="A377" s="13">
        <v>376</v>
      </c>
      <c r="B377" s="6">
        <v>0</v>
      </c>
    </row>
    <row r="378" spans="1:2" x14ac:dyDescent="0.2">
      <c r="A378" s="13">
        <v>377</v>
      </c>
      <c r="B378" s="6">
        <v>0</v>
      </c>
    </row>
    <row r="379" spans="1:2" x14ac:dyDescent="0.2">
      <c r="A379" s="13">
        <v>378</v>
      </c>
      <c r="B379" s="6">
        <v>0</v>
      </c>
    </row>
    <row r="380" spans="1:2" x14ac:dyDescent="0.2">
      <c r="A380" s="13">
        <v>379</v>
      </c>
      <c r="B380" s="6">
        <v>0</v>
      </c>
    </row>
    <row r="381" spans="1:2" x14ac:dyDescent="0.2">
      <c r="A381" s="13">
        <v>380</v>
      </c>
      <c r="B381" s="6">
        <v>0</v>
      </c>
    </row>
    <row r="382" spans="1:2" x14ac:dyDescent="0.2">
      <c r="A382" s="13">
        <v>381</v>
      </c>
      <c r="B382" s="6">
        <v>0</v>
      </c>
    </row>
    <row r="383" spans="1:2" x14ac:dyDescent="0.2">
      <c r="A383" s="13">
        <v>382</v>
      </c>
      <c r="B383" s="6">
        <v>0</v>
      </c>
    </row>
    <row r="384" spans="1:2" x14ac:dyDescent="0.2">
      <c r="A384" s="13">
        <v>383</v>
      </c>
      <c r="B384" s="6">
        <v>0</v>
      </c>
    </row>
    <row r="385" spans="1:2" x14ac:dyDescent="0.2">
      <c r="A385" s="13">
        <v>384</v>
      </c>
      <c r="B385" s="6">
        <v>1</v>
      </c>
    </row>
    <row r="386" spans="1:2" x14ac:dyDescent="0.2">
      <c r="A386" s="13">
        <v>385</v>
      </c>
      <c r="B386" s="6">
        <v>0</v>
      </c>
    </row>
    <row r="387" spans="1:2" x14ac:dyDescent="0.2">
      <c r="A387" s="13">
        <v>386</v>
      </c>
      <c r="B387" s="6">
        <v>0</v>
      </c>
    </row>
    <row r="388" spans="1:2" x14ac:dyDescent="0.2">
      <c r="A388" s="13">
        <v>387</v>
      </c>
      <c r="B388" s="6">
        <v>1</v>
      </c>
    </row>
    <row r="389" spans="1:2" x14ac:dyDescent="0.2">
      <c r="A389" s="13">
        <v>388</v>
      </c>
      <c r="B389" s="6">
        <v>0</v>
      </c>
    </row>
    <row r="390" spans="1:2" x14ac:dyDescent="0.2">
      <c r="A390" s="13">
        <v>389</v>
      </c>
      <c r="B390" s="6">
        <v>0</v>
      </c>
    </row>
    <row r="391" spans="1:2" x14ac:dyDescent="0.2">
      <c r="A391" s="13">
        <v>390</v>
      </c>
      <c r="B391" s="6">
        <v>0</v>
      </c>
    </row>
    <row r="392" spans="1:2" x14ac:dyDescent="0.2">
      <c r="A392" s="13">
        <v>391</v>
      </c>
      <c r="B392" s="6">
        <v>0</v>
      </c>
    </row>
    <row r="393" spans="1:2" x14ac:dyDescent="0.2">
      <c r="A393" s="13">
        <v>392</v>
      </c>
      <c r="B393" s="6">
        <v>0</v>
      </c>
    </row>
    <row r="394" spans="1:2" x14ac:dyDescent="0.2">
      <c r="A394" s="13">
        <v>393</v>
      </c>
      <c r="B394" s="6">
        <v>1</v>
      </c>
    </row>
    <row r="395" spans="1:2" x14ac:dyDescent="0.2">
      <c r="A395" s="13">
        <v>394</v>
      </c>
      <c r="B395" s="6">
        <v>0</v>
      </c>
    </row>
    <row r="396" spans="1:2" x14ac:dyDescent="0.2">
      <c r="A396" s="13">
        <v>395</v>
      </c>
      <c r="B396" s="6">
        <v>0</v>
      </c>
    </row>
    <row r="397" spans="1:2" x14ac:dyDescent="0.2">
      <c r="A397" s="13">
        <v>396</v>
      </c>
      <c r="B397" s="6">
        <v>0</v>
      </c>
    </row>
    <row r="398" spans="1:2" x14ac:dyDescent="0.2">
      <c r="A398" s="13">
        <v>397</v>
      </c>
      <c r="B398" s="6">
        <v>0</v>
      </c>
    </row>
    <row r="399" spans="1:2" x14ac:dyDescent="0.2">
      <c r="A399" s="13">
        <v>398</v>
      </c>
      <c r="B399" s="6">
        <v>0</v>
      </c>
    </row>
    <row r="400" spans="1:2" x14ac:dyDescent="0.2">
      <c r="A400" s="13">
        <v>399</v>
      </c>
      <c r="B400" s="6">
        <v>0</v>
      </c>
    </row>
    <row r="401" spans="1:2" x14ac:dyDescent="0.2">
      <c r="A401" s="13">
        <v>400</v>
      </c>
      <c r="B401" s="6">
        <v>0</v>
      </c>
    </row>
    <row r="402" spans="1:2" x14ac:dyDescent="0.2">
      <c r="A402" s="13">
        <v>401</v>
      </c>
      <c r="B402" s="6">
        <v>0</v>
      </c>
    </row>
    <row r="403" spans="1:2" x14ac:dyDescent="0.2">
      <c r="A403" s="13">
        <v>402</v>
      </c>
      <c r="B403" s="6">
        <v>0</v>
      </c>
    </row>
    <row r="404" spans="1:2" x14ac:dyDescent="0.2">
      <c r="A404" s="13">
        <v>403</v>
      </c>
      <c r="B404" s="6">
        <v>0</v>
      </c>
    </row>
    <row r="405" spans="1:2" x14ac:dyDescent="0.2">
      <c r="A405" s="13">
        <v>404</v>
      </c>
      <c r="B405" s="6">
        <v>1</v>
      </c>
    </row>
    <row r="406" spans="1:2" x14ac:dyDescent="0.2">
      <c r="A406" s="13">
        <v>405</v>
      </c>
      <c r="B406" s="6">
        <v>0</v>
      </c>
    </row>
    <row r="407" spans="1:2" x14ac:dyDescent="0.2">
      <c r="A407" s="13">
        <v>406</v>
      </c>
      <c r="B407" s="6">
        <v>0</v>
      </c>
    </row>
    <row r="408" spans="1:2" x14ac:dyDescent="0.2">
      <c r="A408" s="13">
        <v>407</v>
      </c>
      <c r="B408" s="6">
        <v>0</v>
      </c>
    </row>
    <row r="409" spans="1:2" x14ac:dyDescent="0.2">
      <c r="A409" s="13">
        <v>408</v>
      </c>
      <c r="B409" s="6">
        <v>0</v>
      </c>
    </row>
    <row r="410" spans="1:2" x14ac:dyDescent="0.2">
      <c r="A410" s="13">
        <v>409</v>
      </c>
      <c r="B410" s="6">
        <v>0</v>
      </c>
    </row>
    <row r="411" spans="1:2" x14ac:dyDescent="0.2">
      <c r="A411" s="13">
        <v>410</v>
      </c>
      <c r="B411" s="6">
        <v>0</v>
      </c>
    </row>
    <row r="412" spans="1:2" x14ac:dyDescent="0.2">
      <c r="A412" s="13">
        <v>411</v>
      </c>
      <c r="B412" s="6">
        <v>1</v>
      </c>
    </row>
    <row r="413" spans="1:2" x14ac:dyDescent="0.2">
      <c r="A413" s="13">
        <v>412</v>
      </c>
      <c r="B413" s="6">
        <v>1</v>
      </c>
    </row>
    <row r="414" spans="1:2" x14ac:dyDescent="0.2">
      <c r="A414" s="13">
        <v>413</v>
      </c>
      <c r="B414" s="6">
        <v>0</v>
      </c>
    </row>
    <row r="415" spans="1:2" x14ac:dyDescent="0.2">
      <c r="A415" s="13">
        <v>414</v>
      </c>
      <c r="B415" s="6">
        <v>0</v>
      </c>
    </row>
    <row r="416" spans="1:2" x14ac:dyDescent="0.2">
      <c r="A416" s="13">
        <v>415</v>
      </c>
      <c r="B416" s="6">
        <v>1</v>
      </c>
    </row>
    <row r="417" spans="1:2" x14ac:dyDescent="0.2">
      <c r="A417" s="13">
        <v>416</v>
      </c>
      <c r="B417" s="6">
        <v>1</v>
      </c>
    </row>
    <row r="418" spans="1:2" x14ac:dyDescent="0.2">
      <c r="A418" s="13">
        <v>417</v>
      </c>
      <c r="B418" s="6">
        <v>1</v>
      </c>
    </row>
    <row r="419" spans="1:2" x14ac:dyDescent="0.2">
      <c r="A419" s="13">
        <v>418</v>
      </c>
      <c r="B419" s="6">
        <v>0</v>
      </c>
    </row>
    <row r="420" spans="1:2" x14ac:dyDescent="0.2">
      <c r="A420" s="13">
        <v>419</v>
      </c>
      <c r="B420" s="6">
        <v>0</v>
      </c>
    </row>
    <row r="421" spans="1:2" x14ac:dyDescent="0.2">
      <c r="A421" s="13">
        <v>420</v>
      </c>
      <c r="B421" s="6">
        <v>0</v>
      </c>
    </row>
    <row r="422" spans="1:2" x14ac:dyDescent="0.2">
      <c r="A422" s="13">
        <v>421</v>
      </c>
      <c r="B422" s="6">
        <v>0</v>
      </c>
    </row>
    <row r="423" spans="1:2" x14ac:dyDescent="0.2">
      <c r="A423" s="13">
        <v>422</v>
      </c>
      <c r="B423" s="6">
        <v>0</v>
      </c>
    </row>
    <row r="424" spans="1:2" x14ac:dyDescent="0.2">
      <c r="A424" s="13">
        <v>423</v>
      </c>
      <c r="B424" s="6">
        <v>0</v>
      </c>
    </row>
    <row r="425" spans="1:2" x14ac:dyDescent="0.2">
      <c r="A425" s="13">
        <v>424</v>
      </c>
      <c r="B425" s="6">
        <v>1</v>
      </c>
    </row>
    <row r="426" spans="1:2" x14ac:dyDescent="0.2">
      <c r="A426" s="13">
        <v>425</v>
      </c>
      <c r="B426" s="6">
        <v>0</v>
      </c>
    </row>
    <row r="427" spans="1:2" x14ac:dyDescent="0.2">
      <c r="A427" s="13">
        <v>426</v>
      </c>
      <c r="B427" s="6">
        <v>1</v>
      </c>
    </row>
    <row r="428" spans="1:2" x14ac:dyDescent="0.2">
      <c r="A428" s="13">
        <v>427</v>
      </c>
      <c r="B428" s="6">
        <v>0</v>
      </c>
    </row>
    <row r="429" spans="1:2" x14ac:dyDescent="0.2">
      <c r="A429" s="13">
        <v>428</v>
      </c>
      <c r="B429" s="6">
        <v>0</v>
      </c>
    </row>
    <row r="430" spans="1:2" x14ac:dyDescent="0.2">
      <c r="A430" s="13">
        <v>429</v>
      </c>
      <c r="B430" s="6">
        <v>0</v>
      </c>
    </row>
    <row r="431" spans="1:2" x14ac:dyDescent="0.2">
      <c r="A431" s="13">
        <v>430</v>
      </c>
      <c r="B431" s="6">
        <v>1</v>
      </c>
    </row>
    <row r="432" spans="1:2" x14ac:dyDescent="0.2">
      <c r="A432" s="13">
        <v>431</v>
      </c>
      <c r="B432" s="6">
        <v>0</v>
      </c>
    </row>
    <row r="433" spans="1:2" x14ac:dyDescent="0.2">
      <c r="A433" s="13">
        <v>432</v>
      </c>
      <c r="B433" s="6">
        <v>0</v>
      </c>
    </row>
    <row r="434" spans="1:2" x14ac:dyDescent="0.2">
      <c r="A434" s="13">
        <v>433</v>
      </c>
      <c r="B434" s="6">
        <v>1</v>
      </c>
    </row>
    <row r="435" spans="1:2" x14ac:dyDescent="0.2">
      <c r="A435" s="13">
        <v>434</v>
      </c>
      <c r="B435" s="6">
        <v>0</v>
      </c>
    </row>
    <row r="436" spans="1:2" x14ac:dyDescent="0.2">
      <c r="A436" s="13">
        <v>435</v>
      </c>
      <c r="B436" s="6">
        <v>0</v>
      </c>
    </row>
    <row r="437" spans="1:2" x14ac:dyDescent="0.2">
      <c r="A437" s="13">
        <v>436</v>
      </c>
      <c r="B437" s="6">
        <v>0</v>
      </c>
    </row>
    <row r="438" spans="1:2" x14ac:dyDescent="0.2">
      <c r="A438" s="13">
        <v>437</v>
      </c>
      <c r="B438" s="6">
        <v>0</v>
      </c>
    </row>
    <row r="439" spans="1:2" x14ac:dyDescent="0.2">
      <c r="A439" s="13">
        <v>438</v>
      </c>
      <c r="B439" s="6">
        <v>0</v>
      </c>
    </row>
    <row r="440" spans="1:2" x14ac:dyDescent="0.2">
      <c r="A440" s="13">
        <v>439</v>
      </c>
      <c r="B440" s="6">
        <v>0</v>
      </c>
    </row>
    <row r="441" spans="1:2" x14ac:dyDescent="0.2">
      <c r="A441" s="13">
        <v>440</v>
      </c>
      <c r="B441" s="6">
        <v>0</v>
      </c>
    </row>
    <row r="442" spans="1:2" x14ac:dyDescent="0.2">
      <c r="A442" s="13">
        <v>441</v>
      </c>
      <c r="B442" s="6">
        <v>0</v>
      </c>
    </row>
    <row r="443" spans="1:2" x14ac:dyDescent="0.2">
      <c r="A443" s="13">
        <v>442</v>
      </c>
      <c r="B443" s="6">
        <v>0</v>
      </c>
    </row>
    <row r="444" spans="1:2" x14ac:dyDescent="0.2">
      <c r="A444" s="13">
        <v>443</v>
      </c>
      <c r="B444" s="6">
        <v>0</v>
      </c>
    </row>
    <row r="445" spans="1:2" x14ac:dyDescent="0.2">
      <c r="A445" s="13">
        <v>444</v>
      </c>
      <c r="B445" s="6">
        <v>0</v>
      </c>
    </row>
    <row r="446" spans="1:2" x14ac:dyDescent="0.2">
      <c r="A446" s="13">
        <v>445</v>
      </c>
      <c r="B446" s="6">
        <v>0</v>
      </c>
    </row>
    <row r="447" spans="1:2" x14ac:dyDescent="0.2">
      <c r="A447" s="13">
        <v>446</v>
      </c>
      <c r="B447" s="6">
        <v>0</v>
      </c>
    </row>
    <row r="448" spans="1:2" x14ac:dyDescent="0.2">
      <c r="A448" s="13">
        <v>447</v>
      </c>
      <c r="B448" s="6">
        <v>0</v>
      </c>
    </row>
    <row r="449" spans="1:2" x14ac:dyDescent="0.2">
      <c r="A449" s="13">
        <v>448</v>
      </c>
      <c r="B449" s="6">
        <v>0</v>
      </c>
    </row>
    <row r="450" spans="1:2" x14ac:dyDescent="0.2">
      <c r="A450" s="13">
        <v>449</v>
      </c>
      <c r="B450" s="6">
        <v>1</v>
      </c>
    </row>
    <row r="451" spans="1:2" x14ac:dyDescent="0.2">
      <c r="A451" s="13">
        <v>450</v>
      </c>
      <c r="B451" s="6">
        <v>0</v>
      </c>
    </row>
    <row r="452" spans="1:2" x14ac:dyDescent="0.2">
      <c r="A452" s="13">
        <v>451</v>
      </c>
      <c r="B452" s="6">
        <v>1</v>
      </c>
    </row>
    <row r="453" spans="1:2" x14ac:dyDescent="0.2">
      <c r="A453" s="13">
        <v>452</v>
      </c>
      <c r="B453" s="6">
        <v>1</v>
      </c>
    </row>
    <row r="454" spans="1:2" x14ac:dyDescent="0.2">
      <c r="A454" s="13">
        <v>453</v>
      </c>
      <c r="B454" s="6">
        <v>0</v>
      </c>
    </row>
    <row r="455" spans="1:2" x14ac:dyDescent="0.2">
      <c r="A455" s="13">
        <v>454</v>
      </c>
      <c r="B455" s="6">
        <v>0</v>
      </c>
    </row>
    <row r="456" spans="1:2" x14ac:dyDescent="0.2">
      <c r="A456" s="13">
        <v>455</v>
      </c>
      <c r="B456" s="6">
        <v>0</v>
      </c>
    </row>
    <row r="457" spans="1:2" x14ac:dyDescent="0.2">
      <c r="A457" s="13">
        <v>456</v>
      </c>
      <c r="B457" s="6">
        <v>1</v>
      </c>
    </row>
    <row r="458" spans="1:2" x14ac:dyDescent="0.2">
      <c r="A458" s="13">
        <v>457</v>
      </c>
      <c r="B458" s="6">
        <v>0</v>
      </c>
    </row>
    <row r="459" spans="1:2" x14ac:dyDescent="0.2">
      <c r="A459" s="13">
        <v>458</v>
      </c>
      <c r="B459" s="6">
        <v>0</v>
      </c>
    </row>
    <row r="460" spans="1:2" x14ac:dyDescent="0.2">
      <c r="A460" s="13">
        <v>459</v>
      </c>
      <c r="B460" s="6">
        <v>0</v>
      </c>
    </row>
    <row r="461" spans="1:2" x14ac:dyDescent="0.2">
      <c r="A461" s="13">
        <v>460</v>
      </c>
      <c r="B461" s="6">
        <v>1</v>
      </c>
    </row>
    <row r="462" spans="1:2" x14ac:dyDescent="0.2">
      <c r="A462" s="13">
        <v>461</v>
      </c>
      <c r="B462" s="6">
        <v>1</v>
      </c>
    </row>
    <row r="463" spans="1:2" x14ac:dyDescent="0.2">
      <c r="A463" s="13">
        <v>462</v>
      </c>
      <c r="B463" s="6">
        <v>0</v>
      </c>
    </row>
    <row r="464" spans="1:2" x14ac:dyDescent="0.2">
      <c r="A464" s="13">
        <v>463</v>
      </c>
      <c r="B464" s="6">
        <v>0</v>
      </c>
    </row>
    <row r="465" spans="1:2" x14ac:dyDescent="0.2">
      <c r="A465" s="13">
        <v>464</v>
      </c>
      <c r="B465" s="6">
        <v>0</v>
      </c>
    </row>
    <row r="466" spans="1:2" x14ac:dyDescent="0.2">
      <c r="A466" s="13">
        <v>465</v>
      </c>
      <c r="B466" s="6">
        <v>0</v>
      </c>
    </row>
    <row r="467" spans="1:2" x14ac:dyDescent="0.2">
      <c r="A467" s="13">
        <v>466</v>
      </c>
      <c r="B467" s="6">
        <v>1</v>
      </c>
    </row>
    <row r="468" spans="1:2" x14ac:dyDescent="0.2">
      <c r="A468" s="13">
        <v>467</v>
      </c>
      <c r="B468" s="6">
        <v>0</v>
      </c>
    </row>
    <row r="469" spans="1:2" x14ac:dyDescent="0.2">
      <c r="A469" s="13">
        <v>468</v>
      </c>
      <c r="B469" s="6">
        <v>0</v>
      </c>
    </row>
    <row r="470" spans="1:2" x14ac:dyDescent="0.2">
      <c r="A470" s="13">
        <v>469</v>
      </c>
      <c r="B470" s="6">
        <v>0</v>
      </c>
    </row>
    <row r="471" spans="1:2" x14ac:dyDescent="0.2">
      <c r="A471" s="13">
        <v>470</v>
      </c>
      <c r="B471" s="6">
        <v>1</v>
      </c>
    </row>
    <row r="472" spans="1:2" x14ac:dyDescent="0.2">
      <c r="A472" s="13">
        <v>471</v>
      </c>
      <c r="B472" s="6">
        <v>1</v>
      </c>
    </row>
    <row r="473" spans="1:2" x14ac:dyDescent="0.2">
      <c r="A473" s="13">
        <v>472</v>
      </c>
      <c r="B473" s="6">
        <v>0</v>
      </c>
    </row>
    <row r="474" spans="1:2" x14ac:dyDescent="0.2">
      <c r="A474" s="13">
        <v>473</v>
      </c>
      <c r="B474" s="6">
        <v>1</v>
      </c>
    </row>
    <row r="475" spans="1:2" x14ac:dyDescent="0.2">
      <c r="A475" s="13">
        <v>474</v>
      </c>
      <c r="B475" s="6">
        <v>0</v>
      </c>
    </row>
    <row r="476" spans="1:2" x14ac:dyDescent="0.2">
      <c r="A476" s="13">
        <v>475</v>
      </c>
      <c r="B476" s="6">
        <v>0</v>
      </c>
    </row>
    <row r="477" spans="1:2" x14ac:dyDescent="0.2">
      <c r="A477" s="13">
        <v>476</v>
      </c>
      <c r="B477" s="6">
        <v>0</v>
      </c>
    </row>
    <row r="478" spans="1:2" x14ac:dyDescent="0.2">
      <c r="A478" s="13">
        <v>477</v>
      </c>
      <c r="B478" s="6">
        <v>0</v>
      </c>
    </row>
    <row r="479" spans="1:2" x14ac:dyDescent="0.2">
      <c r="A479" s="13">
        <v>478</v>
      </c>
      <c r="B479" s="6">
        <v>0</v>
      </c>
    </row>
    <row r="480" spans="1:2" x14ac:dyDescent="0.2">
      <c r="A480" s="13">
        <v>479</v>
      </c>
      <c r="B480" s="6">
        <v>1</v>
      </c>
    </row>
    <row r="481" spans="1:2" x14ac:dyDescent="0.2">
      <c r="A481" s="13">
        <v>480</v>
      </c>
      <c r="B481" s="6">
        <v>0</v>
      </c>
    </row>
    <row r="482" spans="1:2" x14ac:dyDescent="0.2">
      <c r="A482" s="13">
        <v>481</v>
      </c>
      <c r="B482" s="6">
        <v>0</v>
      </c>
    </row>
    <row r="483" spans="1:2" x14ac:dyDescent="0.2">
      <c r="A483" s="13">
        <v>482</v>
      </c>
      <c r="B483" s="6">
        <v>0</v>
      </c>
    </row>
    <row r="484" spans="1:2" x14ac:dyDescent="0.2">
      <c r="A484" s="13">
        <v>483</v>
      </c>
      <c r="B484" s="6">
        <v>0</v>
      </c>
    </row>
    <row r="485" spans="1:2" x14ac:dyDescent="0.2">
      <c r="A485" s="13">
        <v>484</v>
      </c>
      <c r="B485" s="6">
        <v>1</v>
      </c>
    </row>
    <row r="486" spans="1:2" x14ac:dyDescent="0.2">
      <c r="A486" s="13">
        <v>485</v>
      </c>
      <c r="B486" s="6">
        <v>0</v>
      </c>
    </row>
    <row r="487" spans="1:2" x14ac:dyDescent="0.2">
      <c r="A487" s="13">
        <v>486</v>
      </c>
      <c r="B487" s="6">
        <v>0</v>
      </c>
    </row>
    <row r="488" spans="1:2" x14ac:dyDescent="0.2">
      <c r="A488" s="13">
        <v>487</v>
      </c>
      <c r="B488" s="6">
        <v>1</v>
      </c>
    </row>
    <row r="489" spans="1:2" x14ac:dyDescent="0.2">
      <c r="A489" s="13">
        <v>488</v>
      </c>
      <c r="B489" s="6">
        <v>0</v>
      </c>
    </row>
    <row r="490" spans="1:2" x14ac:dyDescent="0.2">
      <c r="A490" s="13">
        <v>489</v>
      </c>
      <c r="B490" s="6">
        <v>0</v>
      </c>
    </row>
    <row r="491" spans="1:2" x14ac:dyDescent="0.2">
      <c r="A491" s="13">
        <v>490</v>
      </c>
      <c r="B491" s="6">
        <v>0</v>
      </c>
    </row>
    <row r="492" spans="1:2" x14ac:dyDescent="0.2">
      <c r="A492" s="13">
        <v>491</v>
      </c>
      <c r="B492" s="6">
        <v>0</v>
      </c>
    </row>
    <row r="493" spans="1:2" x14ac:dyDescent="0.2">
      <c r="A493" s="13">
        <v>492</v>
      </c>
      <c r="B493" s="6">
        <v>1</v>
      </c>
    </row>
    <row r="494" spans="1:2" x14ac:dyDescent="0.2">
      <c r="A494" s="13">
        <v>493</v>
      </c>
      <c r="B494" s="6">
        <v>1</v>
      </c>
    </row>
    <row r="495" spans="1:2" x14ac:dyDescent="0.2">
      <c r="A495" s="13">
        <v>494</v>
      </c>
      <c r="B495" s="6">
        <v>0</v>
      </c>
    </row>
    <row r="496" spans="1:2" x14ac:dyDescent="0.2">
      <c r="A496" s="13">
        <v>495</v>
      </c>
      <c r="B496" s="6">
        <v>1</v>
      </c>
    </row>
    <row r="497" spans="1:2" x14ac:dyDescent="0.2">
      <c r="A497" s="13">
        <v>496</v>
      </c>
      <c r="B497" s="6">
        <v>0</v>
      </c>
    </row>
    <row r="498" spans="1:2" x14ac:dyDescent="0.2">
      <c r="A498" s="13">
        <v>497</v>
      </c>
      <c r="B498" s="6">
        <v>0</v>
      </c>
    </row>
    <row r="499" spans="1:2" x14ac:dyDescent="0.2">
      <c r="A499" s="13">
        <v>498</v>
      </c>
      <c r="B499" s="6">
        <v>0</v>
      </c>
    </row>
    <row r="500" spans="1:2" x14ac:dyDescent="0.2">
      <c r="A500" s="13">
        <v>499</v>
      </c>
      <c r="B500" s="6">
        <v>0</v>
      </c>
    </row>
    <row r="501" spans="1:2" x14ac:dyDescent="0.2">
      <c r="A501" s="13">
        <v>500</v>
      </c>
      <c r="B501" s="6">
        <v>0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patient_churn_dataset</vt:lpstr>
      <vt:lpstr>ex_9</vt:lpstr>
      <vt:lpstr>ex_8</vt:lpstr>
      <vt:lpstr>ex_7</vt:lpstr>
      <vt:lpstr>ex_6</vt:lpstr>
      <vt:lpstr>ex_5</vt:lpstr>
      <vt:lpstr>ex_4</vt:lpstr>
      <vt:lpstr>ex_3</vt:lpstr>
      <vt:lpstr>ex_2</vt:lpstr>
      <vt:lpstr>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Glaydson Gonçalo</cp:lastModifiedBy>
  <cp:revision>0</cp:revision>
  <dcterms:modified xsi:type="dcterms:W3CDTF">2026-01-28T15:20:54Z</dcterms:modified>
  <dc:language>en-US</dc:language>
</cp:coreProperties>
</file>